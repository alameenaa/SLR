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tpmy-my.sharepoint.com/personal/al-amin_24009605_utp_edu_my/Documents/"/>
    </mc:Choice>
  </mc:AlternateContent>
  <xr:revisionPtr revIDLastSave="1448" documentId="8_{1703FB9E-2482-4D4B-B854-F180E504851B}" xr6:coauthVersionLast="47" xr6:coauthVersionMax="47" xr10:uidLastSave="{E28D3C3A-6E22-4DEA-94AD-FB7FC33530A0}"/>
  <bookViews>
    <workbookView xWindow="-110" yWindow="-110" windowWidth="19420" windowHeight="10300" xr2:uid="{9495BC46-9976-4714-B8C6-43D9F0BDD42A}"/>
  </bookViews>
  <sheets>
    <sheet name="Sheet1" sheetId="15" r:id="rId1"/>
    <sheet name="Extractions" sheetId="3" r:id="rId2"/>
    <sheet name="QA Score" sheetId="13" r:id="rId3"/>
    <sheet name="Database" sheetId="4" r:id="rId4"/>
    <sheet name="Institution Collaboration" sheetId="14" r:id="rId5"/>
    <sheet name="Contries" sheetId="8" r:id="rId6"/>
    <sheet name="Publishers" sheetId="7" r:id="rId7"/>
    <sheet name="Publication Venues" sheetId="6" r:id="rId8"/>
    <sheet name="Year" sheetId="5" r:id="rId9"/>
    <sheet name="Contributions" sheetId="9" r:id="rId10"/>
    <sheet name="Technologies" sheetId="11" r:id="rId11"/>
    <sheet name="Applications" sheetId="10" r:id="rId12"/>
    <sheet name="UX Evaluation Methods" sheetId="12" r:id="rId13"/>
    <sheet name="Sheet3" sheetId="17" r:id="rId14"/>
  </sheets>
  <definedNames>
    <definedName name="_xlnm._FilterDatabase" localSheetId="11" hidden="1">Applications!$A$1:$C$1</definedName>
    <definedName name="_xlnm._FilterDatabase" localSheetId="9" hidden="1">Contributions!$A$1:$B$53</definedName>
    <definedName name="_xlnm._FilterDatabase" localSheetId="5" hidden="1">Contries!$A$1:$B$1</definedName>
    <definedName name="_xlnm._FilterDatabase" localSheetId="1" hidden="1">Extractions!$A$1:$AC$53</definedName>
    <definedName name="_xlnm._FilterDatabase" localSheetId="4" hidden="1">'Institution Collaboration'!$A$1:$E$58</definedName>
    <definedName name="_xlnm._FilterDatabase" localSheetId="7" hidden="1">'Publication Venues'!$A$1:$D$1</definedName>
    <definedName name="_xlnm._FilterDatabase" localSheetId="6" hidden="1">Publishers!$A$1:$B$10</definedName>
    <definedName name="_xlnm._FilterDatabase" localSheetId="2" hidden="1">'QA Score'!$A$1:$H$53</definedName>
    <definedName name="_xlnm._FilterDatabase" localSheetId="10" hidden="1">Technologies!$A$1:$M$58</definedName>
    <definedName name="_xlnm._FilterDatabase" localSheetId="12" hidden="1">'UX Evaluation Methods'!$A$1:$H$58</definedName>
    <definedName name="_xlchart.v1.0" hidden="1">Publishers!$A$2:$A$10</definedName>
    <definedName name="_xlchart.v1.1" hidden="1">Publishers!$B$1</definedName>
    <definedName name="_xlchart.v1.2" hidden="1">Publishers!$B$2:$B$10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D7" i="4"/>
  <c r="C7" i="4"/>
  <c r="B7" i="4"/>
  <c r="E5" i="4"/>
  <c r="E2" i="4"/>
  <c r="E7" i="4" s="1"/>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F2" i="13"/>
  <c r="B3" i="10"/>
  <c r="B4" i="10"/>
  <c r="B5" i="10"/>
  <c r="B6" i="10"/>
  <c r="B7" i="10"/>
  <c r="B8" i="10"/>
  <c r="B10" i="10"/>
  <c r="B9" i="10"/>
  <c r="B2" i="10"/>
  <c r="B3" i="5"/>
  <c r="B4" i="5"/>
  <c r="B5" i="5"/>
  <c r="B6" i="5"/>
  <c r="B7" i="5"/>
  <c r="B8" i="5"/>
  <c r="B9" i="5"/>
  <c r="B2" i="5"/>
  <c r="B3" i="6"/>
  <c r="B4" i="6"/>
  <c r="B5" i="6"/>
  <c r="B6" i="6"/>
  <c r="B8" i="6"/>
  <c r="B9" i="6"/>
  <c r="B10" i="6"/>
  <c r="B11" i="6"/>
  <c r="B12" i="6"/>
  <c r="B13" i="6"/>
  <c r="B14" i="6"/>
  <c r="B15" i="6"/>
  <c r="B16" i="6"/>
  <c r="B17" i="6"/>
  <c r="B18" i="6"/>
  <c r="B19" i="6"/>
  <c r="B20" i="6"/>
  <c r="B21" i="6"/>
  <c r="B22" i="6"/>
  <c r="B23" i="6"/>
  <c r="B24" i="6"/>
  <c r="B7" i="6"/>
  <c r="B25" i="6"/>
  <c r="B26" i="6"/>
  <c r="B27" i="6"/>
  <c r="B28" i="6"/>
  <c r="B29" i="6"/>
  <c r="B30" i="6"/>
  <c r="B31" i="6"/>
  <c r="B32" i="6"/>
  <c r="B33" i="6"/>
  <c r="B34" i="6"/>
  <c r="B35" i="6"/>
  <c r="B36" i="6"/>
  <c r="B37" i="6"/>
  <c r="B38" i="6"/>
  <c r="B39" i="6"/>
  <c r="B40" i="6"/>
  <c r="B41" i="6"/>
  <c r="B42" i="6"/>
  <c r="B43" i="6"/>
  <c r="B44" i="6"/>
  <c r="B45" i="6"/>
  <c r="B46" i="6"/>
  <c r="B47" i="6"/>
  <c r="B48" i="6"/>
  <c r="B49" i="6"/>
  <c r="B50" i="6"/>
  <c r="B2" i="6"/>
  <c r="B2" i="7"/>
  <c r="B3" i="7"/>
  <c r="B7" i="7"/>
  <c r="B6" i="7"/>
  <c r="B8" i="7"/>
  <c r="B9" i="7"/>
  <c r="B5" i="7"/>
  <c r="B10" i="7"/>
  <c r="B4" i="7"/>
  <c r="B3" i="8"/>
  <c r="B4" i="8"/>
  <c r="B5" i="8"/>
  <c r="B6" i="8"/>
  <c r="B7" i="8"/>
  <c r="B9" i="8"/>
  <c r="B10" i="8"/>
  <c r="B11" i="8"/>
  <c r="B12" i="8"/>
  <c r="B13" i="8"/>
  <c r="B14" i="8"/>
  <c r="B16" i="8"/>
  <c r="B8" i="8"/>
  <c r="B17" i="8"/>
  <c r="B18" i="8"/>
  <c r="B19" i="8"/>
  <c r="B20" i="8"/>
  <c r="B21" i="8"/>
  <c r="B22" i="8"/>
  <c r="B23" i="8"/>
  <c r="B24" i="8"/>
  <c r="B25" i="8"/>
  <c r="B26" i="8"/>
  <c r="B15" i="8"/>
  <c r="B2" i="8"/>
  <c r="B10" i="5" l="1"/>
</calcChain>
</file>

<file path=xl/sharedStrings.xml><?xml version="1.0" encoding="utf-8"?>
<sst xmlns="http://schemas.openxmlformats.org/spreadsheetml/2006/main" count="2313" uniqueCount="959">
  <si>
    <t>Main Contribution</t>
  </si>
  <si>
    <t>Title</t>
  </si>
  <si>
    <t>Author(s)</t>
  </si>
  <si>
    <t>Year</t>
  </si>
  <si>
    <t>Publication Venue</t>
  </si>
  <si>
    <t>Country</t>
  </si>
  <si>
    <t>Document Type</t>
  </si>
  <si>
    <t>Citation count</t>
  </si>
  <si>
    <t>Challenges</t>
  </si>
  <si>
    <t>Evaluated Product</t>
  </si>
  <si>
    <t>UX aspect</t>
  </si>
  <si>
    <t>Assessing User Experience and Cognitive Workload in Virtual Reality Digital Storytelling</t>
  </si>
  <si>
    <t>Filip Skola, Dusanka Boskovic, Selma Rizvic, Dimitrios Skarlatos, Fotis Liarokapis</t>
  </si>
  <si>
    <t>Taylor &amp; Francis</t>
  </si>
  <si>
    <t>Centre of Excellence, Nicosia, Cyprus</t>
  </si>
  <si>
    <t>Cyprus</t>
  </si>
  <si>
    <t>ID</t>
  </si>
  <si>
    <t>Publisher</t>
  </si>
  <si>
    <t>Lab</t>
  </si>
  <si>
    <t>VR digital storytelling application</t>
  </si>
  <si>
    <t>presence, immersion, engagement, emotional response, state of flow, subjective judgment, technological adoption, consequences of using the VR equipment and cognitive workload</t>
  </si>
  <si>
    <t>Convenience</t>
  </si>
  <si>
    <t>Field</t>
  </si>
  <si>
    <t>A Questionnaire-based and Physiology inspired Quality of Experience Evaluation of an Immersive Multisensory Wheelchair Simulator</t>
  </si>
  <si>
    <t>ACM</t>
  </si>
  <si>
    <t>Salgado, D.P; Flynn, R; Naves, E. L. M; Murray, N</t>
  </si>
  <si>
    <t>Faculty of Engineering &amp; Informatics Technological Univeristy of Shannon Athlone Ireland</t>
  </si>
  <si>
    <t>Ireland</t>
  </si>
  <si>
    <t>Immersive VR wheelchaire simulator App</t>
  </si>
  <si>
    <t>DU, AU</t>
  </si>
  <si>
    <t>AU</t>
  </si>
  <si>
    <t>QN</t>
  </si>
  <si>
    <t>Abstract</t>
  </si>
  <si>
    <t>1. The user experience was tested in only one application domain (cultural heritage), which may limit the generalizability of the results to other domains, potentially affecting the applicability of findings in broader contexts; 2. The self-report measure of task performance may not accurately reflect actual performance, as it could be influenced by perceived difficulty or sense of agency, complicating the assessment of user experience; 3. generalizability across hardware and interaction styles may be limited</t>
  </si>
  <si>
    <t>Immersive multimedia technologies such as virtual reality (VR) are now finding potential applications in domains outside of entertainment and gaming in areas such as health, education, and tourism, to name a few. This article presents a Quality of Experience (QoE) evaluation of an immersive haptic-based VR wheelchair simulator. The paper presents the results of an explicit and implicit (physiology-based) QoE evaluation of the Immersive Simulator in three different configurations: (a) desktop group (non-immersive); (b) headset 1 group (immersive with a high rate of motion acceleration); and (c) headset 2 group (immersive with a lower rate of motion acceleration). As part of the user evaluations, participants in each of the groups completed several questionnaires, including: an emotion questionnaire (SAM), cognitive task load (NASA-TLX), user expectations usability (SUS), and presence (IPQ). In addition, during the experience, physiological responses such as electrodermal activity (EDA) and heart rate variability (HRV) were recorded. The self-reported findings suggest that both headset groups had higher usability and presence levels than the desktop group. The two headset groups also had greater pleasant and exciting emotions than the desktop group. The NASA-TLX findings indicate that the headset 1 group presented the highest task cognitive load. The performance evaluation shows that both headset groups had a better results than the desktop group in terms of task completion.</t>
  </si>
  <si>
    <t>Tangible User Interfaces for Enhancing User Experience of Virtual Reality Cultural Heritage Applications for Utilization in Educational Environment</t>
  </si>
  <si>
    <t>VEDAD HULUSIC, LINDA GUSIA, NITA LUCI, MICHAEL SMITH</t>
  </si>
  <si>
    <t>Faculty of Science and Technology, Bournemouth University, UK</t>
  </si>
  <si>
    <t>United Kindom</t>
  </si>
  <si>
    <t>Museums are traditionally considered learning environments and are ordinarily used for non-formal education. Physical museums, while being irreplaceable, are limited to a physical space, requiring mobility and physical presence. In addition, traditional exhibitions are not designed for interaction and physical exploration of artefacts. With the focus being shifted from museum exhibits to visitors’ experience, utilization of emerging technologies and co-creation of virtual museums not only helps in preservation of cultural heritage, but enhances the dissemination, engagement, and experience, while addressing the mobility and the plurality of voices and perspectives represented. In this work, we designed and developed the School House Virtual Museum with tangible user interfaces based on participatory, interdisciplinary, and co-creative methods with students and a larger community of researchers, artists, and practitioners working on heritage and memory. In a user study with 62 participants, usability and user experience were explored and the potential contribution of such virtual museums to learning, based on critical, cross-disciplinary, and participatory dialogue, both in cultural and educational institutions/programs has been investigated. The results have confirmed that the system has been well designed and developed, and the user experience was largely positive. The responses from educators and students confirmed that the application holds potential as a learning and education tool in either museums, schools, or when used independently.</t>
  </si>
  <si>
    <t>School House Virtual Museum</t>
  </si>
  <si>
    <t>Future work</t>
  </si>
  <si>
    <t>Mix</t>
  </si>
  <si>
    <t>A future study would be to design very specific guidelines for how to use VR in the classroom and in museums. This would require additional research on current pedagogies and the links that can be built between educational and cultural and heritage institutions; 2. A mixed-methods UX batteries that combine validated presence/engagement/usability scales with behavioral metrics, telemetry, and physiological signals plus cybersickness tracking to evaluate both objective and subjective UX data.</t>
  </si>
  <si>
    <t>competence, immersion, flow, tension/annoyance, challenge, negative, and positive effect; interaction</t>
  </si>
  <si>
    <t>Using Redirection to Create a Swimming Experience in VR for the Sitting Position</t>
  </si>
  <si>
    <t>Chenyang Cai, Jian He,Tianren Luo</t>
  </si>
  <si>
    <t>Faculty of Information Technology, Beijing University of Technology Beijing, China</t>
  </si>
  <si>
    <t>China</t>
  </si>
  <si>
    <t>Companion Proceedings of the 28th International Conference on Intelligent User Interfaces</t>
  </si>
  <si>
    <t>As a primary locomotion method for some VR applications (e.g. diving, physical exercise, etc.), swimming creates an immersive and entertaining experience. Existing VR swimming methods often use complex and expensive setups to fix users in the mid-air to restore prone positions. While these methods provide realistic experiences, the hanging postures place an additional burden on the users and make them difficult to freely switch between the two swimming positions (prone and supine). Using redirection technology, we propose a new, easy, and effective method to simulate swimming in a comfortable sitting position. For visual simulation, this method redirects the -30° to 30° torso tilt range of the pitch axis in a sitting position to -90° to 90° through a rotation gain to the user’s view. For vestibular and proprioceptive simulation, we use the swimming action, the torso forward/backward leaning for swimming postures’ (backstroke and breaststroke) switching, the pillow and seat back for simulating the buoyancy of water. Preliminary experimental results show that our swimming method can create a good swimming experience for seated users.</t>
  </si>
  <si>
    <t>Oculus Quest 2</t>
  </si>
  <si>
    <t>VR Swimming System</t>
  </si>
  <si>
    <t>Feelings, immersion, tiredness, motion sickness, difficulty and enjoyment</t>
  </si>
  <si>
    <t>A future study would build on this swimming method to develop more practical applications for swimming sports, exploring the ocean and many other aspects.; and evaluate UX from both objective and subjective data measures</t>
  </si>
  <si>
    <t>Using Presence Questionnaires in Virtual Reality</t>
  </si>
  <si>
    <t>Valentin Schwind, Pascal Knierim, Nico Haas, Niels Henze</t>
  </si>
  <si>
    <t>Germany</t>
  </si>
  <si>
    <t>Proceedings of the 2019 CHI conference on human factors in computing systems</t>
  </si>
  <si>
    <t>Virtual Reality (VR) is gaining increasing importance in science, education, and entertainment. A fundamental characteristic of VR is creating presence, the experience of 'being' or 'acting', when physically situated in another place. Measuring presence is vital for VR research and development. It is typically repeatedly assessed through questionnaires completed after leaving a VR scene. Requiring participants to leave and re-enter the VR costs time and can cause disorientation. In this paper, we investigate the effect of completing presence questionnaires directly in VR. Thirty-six participants experienced two immersion levels and filled three standardized presence questionnaires in the real world or VR. We found no effect on the questionnaires' mean scores; however, we found that the variance of those measures significantly depends on the realism of the virtual scene and if the subjects had left the VR. The results indicate that, besides reducing a study's duration and reducing disorientation, completing questionnaires in VR does not change the measured presence but can increase the consistency of the variance.</t>
  </si>
  <si>
    <t>Affliation</t>
  </si>
  <si>
    <t>University of StuttgartStuttgart, Germany</t>
  </si>
  <si>
    <t>First-Person drone shooter game</t>
  </si>
  <si>
    <t>Oculus Rift CV1</t>
  </si>
  <si>
    <t>Presence, Workload</t>
  </si>
  <si>
    <t>A Study on the Presence of Immersive User Interface in Collaborative Virtual Environments Application</t>
  </si>
  <si>
    <t>Wonjun Park, Hayoung Heo,  Seongjun Park, and Jinmo Kim</t>
  </si>
  <si>
    <t>Department of Software, Catholic University of Pusan, Busan 46252, Korea</t>
  </si>
  <si>
    <t>This study proposes a collaboration-based interaction as a new method for providing an improved presence and a satisfying experience to various head-mounted display (HMD) users utilized in immersive virtual reality (IVR), and analyzes the experiences (improved presence, satisfying enjoyment, and social interaction) of applying collaboration to user interfaces. The key objective of the proposed interaction is to provide an environment where HMD users are able to collaborate with each other, based on their differentiated roles and behaviors. To this end, a collaboration-based interaction structured in three parts was designed, including a synchronization procedure and a communication interface that enable users to swiftly execute common goals with precision, based on immersive interactions that allow users to directly exchange information and provide feedback with their hands and feet. Moreover, experimental VR applications were built to systematically analyze the improved presence, enjoyment, and social interaction experienced by users through collaboration. Finally, by conducting a survey on the participants of the experiment, this study confirmed that the proposed interface indeed provided users with an improved presence and a satisfying experience, based on collaboration.</t>
  </si>
  <si>
    <t>PQ, GEQ</t>
  </si>
  <si>
    <t>sence of presence; Enjoyment, and social interaction</t>
  </si>
  <si>
    <t>usability, presence, and positive emotions, cognitive load, physiological arousal, and the potential for cybersickness,</t>
  </si>
  <si>
    <t>collaboratuve VR  application</t>
  </si>
  <si>
    <t xml:space="preserve">The current experimental environment is limited to two users, which restricts the scalability of the findings and their applicability to larger collaborative settings; The number of participants in the comparative experiment is fewer than 24, which raises concerns about the statistical validity and reliability of the findings; </t>
  </si>
  <si>
    <t>TeleFest: Augmented Virtual Teleportation for Live Concerts</t>
  </si>
  <si>
    <t>Young Jacob; Stephen Thompson; Holly Downer; Benjamin Allen; Nadia Pantidi; Lukas Stoecklein; Taehyun Rhee</t>
  </si>
  <si>
    <t>Victoria University of Wellington New Zealand</t>
  </si>
  <si>
    <t>New Zealand</t>
  </si>
  <si>
    <t>TeleFest MR  360° livestream system</t>
  </si>
  <si>
    <t>General Presence, Spatial Presence, involvement, realness</t>
  </si>
  <si>
    <t>Performing with Me: Enhancing Audience-Performer Interaction in An Immersive Virtual Play</t>
  </si>
  <si>
    <t>Yan Shuo; Saixi Ge; Jinhui Wang; Xukun Shen</t>
  </si>
  <si>
    <t>School of New Media Art and Design, Beihang University</t>
  </si>
  <si>
    <t>Immersive theater in virtual reality (VR) has been increasingly popular in recently years. However, it is difficult for the audience to immerse in the play while interacting with the performer who usually presented as virtual avatars. In this paper, we present a novel approach for enhancing audience-performer interaction based on the theory of immersive theater. We integrated three types of interaction into a virtual play: individual-based interaction, scenario-based interaction, and narrative-based interaction. We reported the findings of a pilot qualitative study and identified three design recommendations: (1) letting the audience decide how the scenario goes, (2) making clear the identity of the audience, and (3) increasing the audience's freedom to explore in VR space. These recommendations could be adapted for future VR theater experience.</t>
  </si>
  <si>
    <t xml:space="preserve"> theater performance virtual play</t>
  </si>
  <si>
    <t>purposive</t>
  </si>
  <si>
    <t>immersion experience; narrative experience; interaction experience</t>
  </si>
  <si>
    <t>QL</t>
  </si>
  <si>
    <t>Tele-Immersive ImprovEffects of Immersive Visualisations on Rehearsing and Performing Theatre Online</t>
  </si>
  <si>
    <t>Branch Boyd; Christos Efstratiou; Piotr Mirowski; Kory W. Mathewson; Paul Allain</t>
  </si>
  <si>
    <t>University of Kent Canterbury, United Kingdom</t>
  </si>
  <si>
    <t>Performers acutely need but lack tools to remotely rehearse and create live theatre, particularly due to global restrictions on social interactions during the Covid-19 pandemic. No studies, however, have heretofore examined how remote video-collaboration affects performance. This paper presents the findings of a field study with 16 domain experts over six weeks investigating how tele-immersion affects the rehearsal and performance of improvisational theatre. To conduct the study, an original media server was developed for co-locating remote performers into shared virtual 3D environments which were accessed through popular video conferencing software. The results of this qualitative study indicate that tele-immersive environments uniquely provide performers with a strong sense of co- presence, feelings of physical connection, and an increased ability to enter the social-flow states required for improvisational theatre. Based on our observations, we put forward design recommendations for video collaboration tools tailored to the unique demands of live performance.</t>
  </si>
  <si>
    <t>tele-immersive environment.</t>
  </si>
  <si>
    <t>Flow, Presence, embodiment</t>
  </si>
  <si>
    <t>The User Experience of Journeys in the Realm of Augmented Reality Television</t>
  </si>
  <si>
    <t>Pamparău Cristian; Radu-Daniel Vatavu</t>
  </si>
  <si>
    <t>Augmented Reality Television (ARTV) can take many forms, from AR content displayed outside the TV frame to video-projected TV screens to social TV watching in VR to immersive holograms in the living room. While the user experience (UX) of individual forms of ARTV has been documented before, “journeys” as transitions between such forms have not. In this work, we examine the UX of watching TV when switching between various levels of augmentation. Our findings from an experiment with fourteen participants reveal an UX characterized by high perceived usability, captivation, and involvement with a low to medium workload and a moderate feeling of dissociation from the physical world. We interpret our results in the context of Garrett’s established five-plane model of UX—strategy, scope, structure, skeleton, and surface—and propose a sixth plane, “switch,” which separates conceptually the design of user journeys in ARTV from the specifics of the other UX planes.</t>
  </si>
  <si>
    <t>Perceived usability, workload, immersion, presence;  Desirability</t>
  </si>
  <si>
    <t>Immersive virtual reality news: A study of user experience and  media effects</t>
  </si>
  <si>
    <t>Huiyue Wu; Tong Cai; Dan Luo; Yingxin Liu; Zhian Zhang</t>
  </si>
  <si>
    <t>International Journal of Human-Computer Studies</t>
  </si>
  <si>
    <t>The School of Communication and Design, Sun Yat-sen University, Guangzhou, China</t>
  </si>
  <si>
    <t>Elsevier</t>
  </si>
  <si>
    <t xml:space="preserve">Recently, the concept of “immersive VR news” has been proposed in the news media field. However, unlike  traditional video news, the user experience and media effects of immersive VR news have yet to be verified. To examine the influence of VR technology on the news media field, we designed an immersive VR news product to further discern differences in user experience and media effects among traditional video news, VR news without interaction, and VR news with interaction. The results show that traditional video news excelled in terms of empathy and nervousness, whereas VR news with interaction was superior in terms of immersion, interest, accuracy, and credibility. VR news without interaction performed the poorest in all categories. Based on the  observed user behaviors during the experiment, we present a detailed discussion of the reasons for these dif_x0002_ferences and offer guidelines for the design and application of immersive VR news. </t>
  </si>
  <si>
    <t>immersive VR news.</t>
  </si>
  <si>
    <t>immersion,  Empathy,  Accuracy, Emotion, Credibility</t>
  </si>
  <si>
    <t>more research is needed with a good control over factors such as the visual  fidelity and aesthetic appeal of the actual news content to obtain a  deeper understanding of the usability and fidelity issues; and test immersive VR applications across diverse news types and contexts to validate findings across content genres; use validated instruments (e.g., IPQ, PQ, ITC-SOPI) to capture subjective immersion and sense of presence.</t>
  </si>
  <si>
    <t>The sense of being there during online classes: analysis of usability and presence in web-conferencing systems and virtual reality social platforms</t>
  </si>
  <si>
    <t>Manuela Chessa; Fabio Solari</t>
  </si>
  <si>
    <t>Department of Informatics, Bioengineering, Robotics, and Systems Engineering, University of Genoa, Genova, Italy</t>
  </si>
  <si>
    <t>Italy</t>
  </si>
  <si>
    <t>Due to the Covid-19 pandemic, millions of people had to stay at home for several months and to move their everyday activities online. From smart-working to online learning, also considering entertainment activities, people started to extensively use platforms for remote communication and for sharing video, text, and audio content. Such systems are able to cope with the need of communicating, but the common feeling is that people, and especially students, are missing the physical relationships with classmates and colleagues. In this paper, we analyse two modalities that can be used to give an online University lecture, by focusing on the ‘sense of presence’, i.e. on the ability to produce into students the psychological sense of being in a classroom together with the teacher and their classmates. We consider a standard web-conferencing system, and a Virtual Reality social platform. We also take into account the ‘usability’ factors, to understand if extended reality systems could be, in a near future, a possible alternative to improve distance lectures and meetings.</t>
  </si>
  <si>
    <t>VR social platform (Mozilla Hubs)</t>
  </si>
  <si>
    <t>Desktop web application</t>
  </si>
  <si>
    <t>presence, realism, involvement, usability,; User experience aspect from UEQ</t>
  </si>
  <si>
    <t>Do VR and AR versions of an immersive cultural experience engender different user experiences</t>
  </si>
  <si>
    <t>Although Virtual Reality (VR) and Augmented Reality (AR) user experiences have received large amounts of recent research interest, a direct comparison of different immersive technologies' user experiences has not often been conducted. This study compared user experiences of one VR and two AR versions of an immersive gallery experience ‘Virtual Veronese’, measuring multiple aspects of user experience, including enjoyment, presence, cognitive, emotional and behavioural engagement, using a between-subjects design, at the National Gallery in London, UK. Analysis of the self-reported survey data (N = 368) showed that enjoyment was high on all devices, with the Oculus Quest (VR) receiving higher mean scores than both AR devices, Magic Leap and Mira Prism. In relation to presence, the elements ‘spatial presence’, ‘involvement’, and ‘sense of being there’ received a higher mean score on the Oculus Quest than on both AR devices, and on ‘realism’ the Oculus Quest scored significantly higher than the Magic Leap. Cognitive engagement was similar between the three devices, with only ‘I knew what to do’ being rated higher for Quest than Mira Prism. Emotional engagement was similar between the devices. Behavioural engagement was high on all devices, with only ‘I would like to see more experiences like this’ being higher for Oculus Quest than Mira Prism. Negative effects including nausea were rarely reported. Differences in user experiences were likely partly driven by differences in immersion levels between the devices.</t>
  </si>
  <si>
    <t>Isabelle Verhulst; Andy Woods; Laryssa Whittaker; James Bennett; Polly Dalton</t>
  </si>
  <si>
    <t>Royal Holloway University of London (StoryFutures), United Kingdom</t>
  </si>
  <si>
    <t>Immersive strory telling</t>
  </si>
  <si>
    <t>enjoyment, presence, cognitive, emotional and behavioural engagement</t>
  </si>
  <si>
    <t>Future research can look into the importance of the Gallery setting  on user experience, and to what extent the VR user experience is influ_x0002_enced by the physical presence of the (unseen in VR) physical painting; In addition, since data  were collected immediately after the experience, future research could  cover additional time points, for example pre-experience (user expec_x0002_tations), and user experiences during, immediately after the experience and longer term</t>
  </si>
  <si>
    <t>A Physiology-Based QoE Comparison of Interactive Augmented Reality, Virtual Reality and Tablet-Based Applications</t>
  </si>
  <si>
    <t>Conor Keighrey; Ronan Flynn; Siobhan Murray; Niall Murray</t>
  </si>
  <si>
    <t>The availability of affordable head-mounted display technology has facilitated new, potentially more immersive, interactive multimedia experiences. These technologies were traditionally focused on entertainment; however, academia and industry are now exploring applications in other domains such as health, learning and training. Key to the success of these new multimedia experiences is the understanding of a user's perceived quality of experience (QoE). Subjective user ratings have been the primary mechanism to capture insights into a user's experience. Such ratings have generally been captured post experience and reflected using a mean opinion score (MOS). However, user perception is multifactorial and subjective ratings alone do not express the true measure of an experience. As a result, recent efforts to capture QoE have included exploring the use of implicit metrics (e.g., physiological measures). This article presents the results of an experimental QoE evaluation and comparison of immersive applications delivered across three multimedia platforms. The platforms compared were augmented reality, tablet and virtual reality. The QoE methodology employed considered explicit (post-test questionnaire) and implicit (heart rate and electrodermal activity) assessment methods. The results indicate comparatively higher levels of QoE for users of the augmented reality and tablet platforms.</t>
  </si>
  <si>
    <t>Institute of Technology, Athlone, Ireland</t>
  </si>
  <si>
    <t>IEEE</t>
  </si>
  <si>
    <t>Enjoyment, Immersion, interaction and discomfort</t>
  </si>
  <si>
    <t>Multimedia</t>
  </si>
  <si>
    <t>With the appearance of innovative virtual reality (VR) technologies, the need to create immersive content arose. Although there are already some non-immersive solutions to address immersive audio-visual content, there are no solutions that allow the creation of immersive multisensory content. This work proposes a novel architecture for a collaborative immersive tool that allows the creation of multisensory VR experiences in real-time, thus promoting the expeditious development, adoption, and use of immersive systems and enabling the building of custom-solutions that can be used in an intuitive manner to support organizations’ business initiatives. To validate the presented proposal, two approaches for the authoring tools (Desktop interface and Immersive interface) were subjected to a set of tests and evaluations consisting of a usability study that demonstrated not only the participants’ acceptance of the authoring tool but also the importance of using immersive interfaces for the creation of such VR experiences</t>
  </si>
  <si>
    <t>Collaborative immersive authoring tool for real-time creation of multisensory VR experiences</t>
  </si>
  <si>
    <t>Hugo Coelho; Miguel Melo; José Martins; Maximino Bessa</t>
  </si>
  <si>
    <t>University of Trás-os-Montes and Alto Douro, Vila Real, Portugal</t>
  </si>
  <si>
    <t>Portugal</t>
  </si>
  <si>
    <t>Springer Nature Link</t>
  </si>
  <si>
    <t>SUS, ASQ</t>
  </si>
  <si>
    <t>usability, effectiveness, efficiency, satisfaction</t>
  </si>
  <si>
    <t>immersive multisensory VR application</t>
  </si>
  <si>
    <t>Assessing the User Experience of Consumer Haptic Devices for Simulation-based Virtual Reality</t>
  </si>
  <si>
    <t>Pratticò, F. Gabriele; Davide Calandra; Matteo Piviotti; Fabrizio Lamberti</t>
  </si>
  <si>
    <t>Department of Control and Computer Engineering Politecnico di Torino, Turin, Italy</t>
  </si>
  <si>
    <t>Although technological advancements brought us increasingly realistic virtual experiences, Virtual Reality (VR) still basically relies on high visual and audio fidelity only. Indeed, haptic devices that could help to digitally recreate a further sense have been subject of investigations for a long time, but it is only recently that they took their first steps in the consumer domain. Within the definition of haptic feedback, various kinds of stimuli can be identified, though entry-level haptic devices usually supports just a subset of them. In order to cope with this limitation, less capable haptic devices may be combined with alternative approaches for providing haptic stimuli, compensating possible lacks through configurations that are affordable than fully-fledged products. This work investigates the performance, in terms of User eXperience (UX), of two haptic solutions based on consumer devices: a VR glove endowed with both vibrational and force-feedback, and a VR haptic glove provided with vibrational feedback paired with a passive haptic-based mock-up. The two configurations are compared by means of a user study against a relevant scenario in the context of a simulation-based VR experience encompassing the use of an electromechanical tool.</t>
  </si>
  <si>
    <t>HTC Vive</t>
  </si>
  <si>
    <t>attractiveness, per_x0002_spicuity, efficiency, dependability, stimulation, and novelty; usability; simulation scikness</t>
  </si>
  <si>
    <t>electromechanical VR simulation</t>
  </si>
  <si>
    <t>An Event-based User Experience Evaluation Method for Virtual Reality Applications</t>
  </si>
  <si>
    <t>Che Xiaoping, Siqi Ma, Qi Yu, and Chenfeng Yue</t>
  </si>
  <si>
    <t>School of Software Engineering, Beijing Jiaotong University, Beijing, China</t>
  </si>
  <si>
    <t>Conference</t>
  </si>
  <si>
    <t>With the development and advancement of Virtual Reality (VR) technology in recent years, hardware is no longer the main factor limiting VR into the public life, and the demand for user experience (UX) continues to increase. The development of VR is beginning to reveal a content-oriented trend. Whether the content is attractive enough will greatly affects users’ experience and determine the service life of VR applications. Consequently, searching for interaction events that would affect VR UX is critical to improve user stickiness. At present, the researches on VR mainly focus on the improvement of hardware and software, and pay less attention to the content event design. Moreover, there is no unified and clear standard for VR UX evaluation. This paper attempts to find out the relationship between user traits, VR interaction events and user experience through realistic experiments. This paper firstly define four types of VR interaction events, and design a questionnaire for collecting the tester’s traits and their subjective evaluation. During the experiment, objective physiological data of the testers and their participation process were recorded. The 80 testers were divided into two groups to experience two types of VR games with constant time. The statistical method and improved Prism algorithm were used to find out the correlation among user traits, type of game interaction events and user experience. The experiment results could provide references for VR designers and developers, and at the same time provide the preliminary study to standardized VR user experience evaluation</t>
  </si>
  <si>
    <t>How do users experience the interaction with an immersive screen?</t>
  </si>
  <si>
    <t>Shin Donghee;</t>
  </si>
  <si>
    <t>Ultra-high definition television (UHDTV) is designed using a variety of immersive technologies that are believed to promote user engagement. This study examines the immersion feature of UHDTV by focusing on user experience (UX) to determine whether there is a favorable response by users and whether immersion improves their viewing experience. Further, it examines the relationship between UX and the quality perception of UHDTV to develop a conceptual model for users' quality of experience (QoE) with respect to UHDTV. It uses multiple methods combining experiment (to measure the effect of the immersive experience) and survey (to model the UHDTV UX). The results imply an optimum level of immersion as well as the need for user-based quality measurement. The results confirm the existing models of predicting user intentions with digital technologies and have potential to provide new insights to the research of immersive technologies.</t>
  </si>
  <si>
    <t>United Arab Emirate</t>
  </si>
  <si>
    <t>College of Communication and Media Sciences, Zayed University, PO Box 144534 Abu Dhabi, UAE</t>
  </si>
  <si>
    <t>Samsung TV (U28D590D)</t>
  </si>
  <si>
    <t>Random</t>
  </si>
  <si>
    <t xml:space="preserve"> hedonicity, utility, Immersion, Flow, Presence, Expectation, Confirmation, Satisfaction, intention</t>
  </si>
  <si>
    <t>Future studies carefully consider the generalizability of findings and the applicability to the broader research community; Finally, while this study proposes a QoE framework, there is room for further clarifications and refinement. Future studies can focus on developing a new evaluation framework based on users' emotional aspects. Beyond simply measuring colors, resolution, and picture quality in UHDTV, the new emotional frameworks call for measuring all technical features and carefully considering external factors such as external contextual factors as well as users' emotional factors</t>
  </si>
  <si>
    <t>Metaverse-Based Virtual Campus Tour for Higher Education: Insights from Development to User Experience Validation</t>
  </si>
  <si>
    <t>Ahmad YUSUF; Rahimi FITRI; Puguh Wahyu PRASETYO</t>
  </si>
  <si>
    <t>Informatics Engineering Study Program Politeknik Negeri Banjarmasin, Banjarmasin, Indonesia</t>
  </si>
  <si>
    <t>Journal of Metaverse</t>
  </si>
  <si>
    <t>Indonesia</t>
  </si>
  <si>
    <t>Izmir Academy Association</t>
  </si>
  <si>
    <t>In archipelagic countries with thousands of islands separated by wide regional spans, geographic barriers often prevent prospective students from experiencing campus life before making enrollment decisions. This limitation constrains institutions' capacity to expand outreach and enhance their visibility in the higher education landscape. Metaverse platforms present significant opportunities to transform campus tours. However, most virtual tours are still constrained by static visualizations and single-user experiences. This study aims to systematically develop and evaluate a Metaverse-based virtual campus tour, addressing the limitations of existing platforms and examining its usability and user loyalty. The system was created systematically through a four-phase Discover, Blueprint, Develop, and Validate framework. This process consolidated requirements, translated them into design artifacts, and implemented them within a scalable layered architecture, ensuring usability and loyalty. Evaluation results showed that users perceived the system as both usable and recommendable. While usability varied according to familiarity and role-specific expectations, loyalty remained consistently strong across groups. These findings confirm that the system delivers meaningful value, demonstrates strong adoption potential, and offers a replicable development model for applying Metaverse technologies in higher education.</t>
  </si>
  <si>
    <t>Metaverse-based campus tour system</t>
  </si>
  <si>
    <t>System usability; Loyalty</t>
  </si>
  <si>
    <t>User Experience Evaluation in Shared Interactive Virtual Reality</t>
  </si>
  <si>
    <t>Shady Guertin-Lahoud; Constantinos K. Coursaris; Sylvain Senecal; Pierre-Majorique Leger</t>
  </si>
  <si>
    <t>Department of Information Technologies, HEC Montreal, Montreal, Quebec, Canada</t>
  </si>
  <si>
    <t>Canada</t>
  </si>
  <si>
    <t>Mary Ann Liebert</t>
  </si>
  <si>
    <t>Virtual reality (VR) has served the entertainment industry all the way to world-leading museums in delivering engaging experiences through multisensory virtual environments (VEs). Today, the rise of the Metaverse fuels a growing interest in leveraging this technology, bringing along an emerging need to better understand the way different dimensions of VEs, namely social and interactive, impact overall user experience (UX). This between-subject exploratory field study investigates differences in the perceived and lived experience of 28 participants engaging, either individually or in dyads, in a VR experience comprising different levels of interactivity, i.e., passive or active. A mixed methods approach combining conventional UX measures, i.e., psychometric surveys and user interviews, as well as psychophysiological measures, i.e., wearable bio- and motion sensors, allowed for a comprehensive assessment of users' immersive and affective experiences. Results pertaining to the social dimension of the experience reveal that shared VR elicits significantly more positive affect, whereas presence, immersion, flow, and state anxiety are unaffected by the copresence of a real-world partner. Results pertaining to the interactive dimension of the experience suggest that the interactivity afforded by the VE moderates the effect of copresence on users' adaptive immersion and arousal. These results support that VR can be shared with a real-world partner not only without hindering the immersive experience, but also by enhancing positive affect. Hence, in addition to offering methodological directions for future VR field research, this study provides interesting practical insights into guiding VR developers toward optimal multiuser virtual environments.</t>
  </si>
  <si>
    <t>Virtual International Space Station</t>
  </si>
  <si>
    <t>Co-presence, presence, immersion, flow,  positive affect, State anxiety; Heart Rate; EDA</t>
  </si>
  <si>
    <t>WSUS: A Novel Usability Metric Based on SUS for VR-based Tasks in Cultural Heritage Contexts</t>
  </si>
  <si>
    <r>
      <t xml:space="preserve">Marco Raoul Marini; Ludovica Mocerino; </t>
    </r>
    <r>
      <rPr>
        <b/>
        <sz val="11"/>
        <color theme="1"/>
        <rFont val="Aptos Narrow"/>
        <family val="2"/>
        <scheme val="minor"/>
      </rPr>
      <t>Laura Leopardi; Saverio Giulio Malatesta</t>
    </r>
  </si>
  <si>
    <t>Sapienza, University of Rome Department of Computer  Science</t>
  </si>
  <si>
    <t>VR cultural heritage application</t>
  </si>
  <si>
    <t>The proliferation of Virtual Reality (VR) technologies has significantly transformed the landscape of cultural heritage experiences, offering immersive and interactive access to historical and cultural content. However, the effective evaluation of user experience and system usability within these VR environments remains a challenge, primarily due to the unique demands and interaction paradigms they present. This paper introduces the Weighted System Usability Scale (WSUS), a novel adaptation of the traditional System Usability Scale (SUS) methodology, specifically tailored for assessing VR-based experiences in cultural heritage contexts. The WSUS method incorporates a weighted scoring system that accounts for the distinct aspects of user engagement based on the specific content of the experience, which conventional SUS does not adequately capture. Through a comprehensive study involving different groups of participants on a specific VR cultural heritage application, the WSUS methodology demonstrated a heightened sensitivity to usability issues related to cultural heritage contents. The results revealed that WSUS scores correlated significantly with users' overall satisfaction and perceived learning outcomes, highlighting the method's effectiveness in evaluating the nuanced dimensions of VR usability</t>
  </si>
  <si>
    <t>Meta Quest 2</t>
  </si>
  <si>
    <t>Future studies will further investigate the effectiveness of the proposed metrics with different use cases, populations, and environments.</t>
  </si>
  <si>
    <t>Subjective satisfaction;  efficiency; Social Presence</t>
  </si>
  <si>
    <t>Evaluating the Efficacy of Virtual Reality in Industrial Design Brainstorming: A Comparative Study of Emotional and Interactive Metrics</t>
  </si>
  <si>
    <t>Yu-Min Fang</t>
  </si>
  <si>
    <t>National United University, Miao-Li</t>
  </si>
  <si>
    <t>Taiwan</t>
  </si>
  <si>
    <t>The efficacy of virtual reality (VR) in industrial design brainstorming is evaluated by comparing emotional and interactive metrics between VR and traditional physical environments in this study. With the evolution of VR technology and remote work due to COVID-19, VR offers new opportunities for design collaboration, breaking geographical barriers, and providing immersive experiences. Adopting VR and digital technologies, such as Meta Quest headsets and Meta Horizon Workrooms, brainstorming sessions are facilitated. Eight graduate students from the National United University, Taiwan participated in in VR and physical brainstorming activities. Using a paired samples t-test, key indicators such as emotional valence, arousal, immersion, technology acceptance, social interaction, and preference are analyzed. VR can be used for physical brainstorming in emotional valence, arousal, immersion, technology acceptance, social interaction, and preference, with minimal differences in usability. Significant differences are observed in emotional valence, arousal, and preference, indicating a higher effectiveness of VR. The results of this study highlight the advantages and disadvantages of VR meetings. VR eliminates geographical barriers, offers rich interactive features, and reduces costs. Challenges such as a high learning curve, limitations in body language, potential health issues, and cybersecurity risks also are observed. Further optimization of VR technology and operational design need to be explored to improve interactivity and user experience. The potential of VR as an effective tool for industrial design brainstorming allows for the application of VR to enhance creativity and collaboration of design teams.</t>
  </si>
  <si>
    <t>Brainstorming system</t>
  </si>
  <si>
    <t>emotional valence, arousal, immersion, usability, technology acceptance, social interaction, and preference</t>
  </si>
  <si>
    <t>Design and development approach for an interactive virtual museum with haptic glove technology</t>
  </si>
  <si>
    <t>Emma, EF, Fallows; David, DW, White; Neil, NJB, Brownsword</t>
  </si>
  <si>
    <t>MANSiD Research Center Ştefan cel Mare University of Suceava Suceava</t>
  </si>
  <si>
    <t>Romania</t>
  </si>
  <si>
    <t>Proceedings of the 25th international academic mindtrek conference</t>
  </si>
  <si>
    <t>QUIS</t>
  </si>
  <si>
    <t>Thornhill Museum Experience</t>
  </si>
  <si>
    <t>screen factors, terminology, and system feedback, learning factors and system capabilities, user satisfaction</t>
  </si>
  <si>
    <t>improving haptic technology, reusing the workflow with other artefacts and museums, and expanding digital heritage applications to justify investment and bring such VR experiences into mainstream exhibitions</t>
  </si>
  <si>
    <t>Evaluating the user interface and experience of VR in the electronic commerce environment: a hybrid approach</t>
  </si>
  <si>
    <t>Kuo‑Wei Su; Shih‑Chih Chen; Po‑Hung Lin; Ching‑I Hsieh</t>
  </si>
  <si>
    <t>In recent years, to attract global manufacturers, media reporters, and consumer attention, a popular term in search engines has been virtual reality (VR). In addition to video, entertainment, education, and medical, VR can be used in electronic commerce (E-commerce). Currently, most E-commerce platforms present products using 2D images, text-based interface or animation. However, consumers want to know more about the products while online shopping and compare the product’s material, color, and other elements. Therefore, combining VR with E-commerce can improve the user’s shopping experience. This study will focus on the characteristics of VR and E-commerce. This feature can be used to interactively study UI and UX between users and designers to generate design criteria. Experimental design is carried out through the modified SEM-CPU method. Then, we use the think-aloud protocols, Questionnaire for User Interaction Satisfaction, and User Experience Questionnaire to understand the user’s thoughts on UI and UX. Moreover, this study uses focus group to interview experts to obtain expert opinions on VR E-commerce. Induction and integration of data is carried out to produce design criteria by experimental results. Finally, the Delphi method is utilized to validate and evaluate the practicability of the design criterion. Through the “UI and UX design criteria of VR” generated by this study, many important design elements can be proposed and assessed in VR E-commerce. In closing, this study provides design and development suggestions for VR developers to improve the positive influence of UX.</t>
  </si>
  <si>
    <t xml:space="preserve"> VR E-commerce</t>
  </si>
  <si>
    <t xml:space="preserve"> screen, operation and prompt, safety and experience of use, system functions, and transaction</t>
  </si>
  <si>
    <t>Education in the metaverse: Developing virtual reality teaching materials for K–12 natural science</t>
  </si>
  <si>
    <t>Cheng‑Hung Wang</t>
  </si>
  <si>
    <t>National University of Kaohsiung (NUK)</t>
  </si>
  <si>
    <t>National Kaohsiung University of Science and Technology Taiwan</t>
  </si>
  <si>
    <t>In the post-COVID-19 era, information education with highly interactive teaching methods has become increasingly common. In particular, the metaverse and virtual reality (VR) technology can be used in novel learning methods to leverage the intuitiveness, immersivity, and interactivity of VR. For example, students could use VR to simulate scientific experiments in chemistry, biology, or physics that would require handling dangerous chemicals or biological samples, mitigating real-world experimental risks. This study investigated the effective use of emerging technologies in K–12 education through the development of a VR teaching material “Escape from the Material Room” for junior high school students with the goals of cultivating students’ core competencies in self-directed learning and enhance the learning experience. The development process involved two stages: first, 45 university students participated in a preliminary usability assessment, providing feedback that led to minor interface adjustments. Subsequently, 25 junior high school students engaged with the optimized VR material as a supplementary course. Through detailed analysis of system usability, user satisfaction, and learning behavior, the study found that the key factors enhancing the effectiveness of VR teaching materials include interaction design, the intuitiveness of the user interfaces, and the integration of teaching content with learning objectives. The findings highlight the potential of VR to promote educational innovation and enhance the learning experience. By incorporating VR’s unique features, such as immersion and interactivity, into teaching and learning, educators can create more engaging and effective learning environments</t>
  </si>
  <si>
    <t>educational VR program</t>
  </si>
  <si>
    <t>Ease of use, user satisfaction, and learning behaviour</t>
  </si>
  <si>
    <t>The study is limited by technical performance issues (e.g., interaction lag and unclear operations), insufficient in-game guidance for students, and a narrow scope focused on a single physics topic with a relatively small learner sample</t>
  </si>
  <si>
    <t>Transforming Education Through the Metaverse: Immersive Technologies and Gamification for Skill Development</t>
  </si>
  <si>
    <t>Jéfer Benedett Dörr; Linnyer Beatrys Ruiz Aylon</t>
  </si>
  <si>
    <t>Universidade Estadual de Maringá, Maringá, Brazil</t>
  </si>
  <si>
    <t>Brazil</t>
  </si>
  <si>
    <t>This study of Manna_Team research group explores the potential of immersive technologies, particularly the Metaverse and Virtual Reality, to enhance education by integrating gamification and innovative methodologies. The SpatialVerse and DroneVerse environments were developed to simulate diverse scenarios, enabling students to acquire technical, socio-emotional, and cognitive skills through safe and engaging activities. Evaluations with educators highlighted positive outcomes, including increased student engagement, motivation, and practical skill development. These findings underscore the transformative role of immersive technologies in creating interactive and relevant educational experiences, preparing students for modern challenges.</t>
  </si>
  <si>
    <t>usability, emotional engagement, and technology acceptance</t>
  </si>
  <si>
    <t>MannaBrax SpatialVerse and Manna DroneVerse environments</t>
  </si>
  <si>
    <t>A novel method to enhance the touristic 360° promotional video experience</t>
  </si>
  <si>
    <t>Guilherme Goncalves; Miguel Melo; Jose Vasconcelos-Raposo; Maximino Bessa</t>
  </si>
  <si>
    <t>University of Tras-os-Montes and Alto Douro, Vila Real, Portugal</t>
  </si>
  <si>
    <t>Promotional 360∘ videos are now widely used to promote touristic sites, giving consumers a more immersive glimpse of what they can expect from those places. However, these 360∘ videos often comprise so much information that it overloads the users, not allowing them to benefit from such a rich multimedia experience. To overcome this issue, we propose and evaluate a novel method that allows the experience of immersive 360∘ promotional videos to be more interactive and informative without overloading users. The evaluation study focuses on how the proposed interaction method performs versus the non-interactive method in terms of user satisfaction, presence, and cybersickness in both a low-immersive (computer monitor) setup and an immersive platform (head-mounted display (HMD)). Our sample (N = 50) was randomly divided into four groups: 360∘ (computer monitor without interaction), 360∘Interaction (computer monitor with interaction), IVR360∘ (HMD without interaction) and IVR360∘Interaction (HMD with interaction). The results show that the novel proposed method is preferred by users over the non-interactive approach regardless of the setup (low-immersive or immersive). For cybersickness, there were no differences across all the experimental scenarios. We conclude that our method has the potential to bring added value to touristic promotion when compared to conventional promotional approaches</t>
  </si>
  <si>
    <t>360◦ promotional video</t>
  </si>
  <si>
    <t>user satisfaction, presence, and cybersickness; frame rate</t>
  </si>
  <si>
    <t>in future research, our solution could be adapted and evaluated in other fields, widening the target audience, and accumu_x0002_lating a set of validated features (including more metrics into the analysis, such as user performance) that can be turned on/off as needed.</t>
  </si>
  <si>
    <t>A 360 Video Editor Framework for Interactive Training</t>
  </si>
  <si>
    <t>Andrei Torres; Christopher Carmichael; William Wang; Matthew Paraskevakos; Alvaro Uribe-Quevedo; Paul Giles;  Jamie Lee Yawney</t>
  </si>
  <si>
    <t>Ontario Tech University, Oshawa, ON, Canada</t>
  </si>
  <si>
    <t>The adoption of consumer-level mobile devices and head-mounted displays (HMDs) has caused an increased consumption of 360° video content. This trend has led to accessible and immersive content creation for training and education in health and safety amongst other areas. Although 360° videos can provide realistic content, they often lack interactivity. We hypothesize that integrating interactive elements into 360° videos will affect its perceived immersion, engagement, and usability. In this paper, we present a framework for adding interactions to 360° videos composed of an editor and a video player. The Editor allows adding interactive content in the form of panels containing information, quizzes, pictures, and 3D models. A three-stage study was conducted with participants from the Ontario Tech University (n=45) to evaluate our VR framework's usability and engagement compared to a non-interactive 360° video by applying the SUS (System Usability Scale) and the GEQ (Game Experience Questionnaire) surveys. Results indicate that the interactions add tension, higher negative affect, and lower positive affect than non-interactive videos that led to higher perceived usability with the non-interactive version. We believe that this is caused by the need to locate and interact with elements while the video is playing.</t>
  </si>
  <si>
    <t>Usability and engagement, immersion, flow, tension, competence and challenge</t>
  </si>
  <si>
    <t xml:space="preserve"> 360◦ video</t>
  </si>
  <si>
    <t>Oculus Go</t>
  </si>
  <si>
    <t>Introduce auto-pause for interactions and redesign/record 360° videos with appropriate transitions and framing to improve immersion, flow, and comfort.</t>
  </si>
  <si>
    <t>Subjective Evaluation of 360-degree Sensory Experiences</t>
  </si>
  <si>
    <t>IEEE 21st International Workshop on Multimedia Signal Processing (MMSP)</t>
  </si>
  <si>
    <t>Álan L. V. Guedes; Roberto G. de A. Azevedo; Pascal Frossard; Sérgio Colcher; Simone Diniz Junqueira Barbosa</t>
  </si>
  <si>
    <t>TeleMídia Lab, PUC-Rio</t>
  </si>
  <si>
    <t>Traditionally, most multimedia content has been developed to stimulate two of the human senses, i.e., sight and hearing. Due to recent technological advancements, however, innovative services have been developed that provide more realistic, immersive, and engaging experiences to the audience. Omnidirectional (i.e., 360-degree) video, for instance, is becoming increasingly popular. It allows the viewer to navigate the full 360-degree view of a scene from a specific point. In particular, when consumed through head-mounted displays, 360-degree videos provide increased immersion and sense of presence. The use of multi-sensory effects —e.g., wind, vibration, and scent— has also been explored by recent work, which allows an improved experience by stimulating other users' senses through sensory effects that go beyond the audiovisual content. Understanding how these additional multi-sensory effects affect the users' perceived quality of experience (QoE) in 360-degree, however, is still an open research problem at large. As a step to better understand the QoE of immersive sensory experiences, this paper presents a testbed and discusses a user-focused study on a scenario in which the user is immersed in the 360-degree video content and is stimulated through additional sensory effects. Quantitative results indicated that the sensorial effects can considerably increase the sense of presence of 360-degree videos. Qualitative results provided us with a better view of the limitations of current technologies and interesting insights such as the users' sense of surprise</t>
  </si>
  <si>
    <t>Zeiss VR One Plus</t>
  </si>
  <si>
    <t>Experiencing immersive virtual reality in museums</t>
  </si>
  <si>
    <t>Hyunae Lee; Timothy Hyungsoo Jung; M.Claudia tom Dieck; Namho Chung</t>
  </si>
  <si>
    <t xml:space="preserve"> Smart Tourism Research Center, Kyung Hee University, Republic of Korea</t>
  </si>
  <si>
    <t>Virtual Reality (VR) has been regarded as a highly effective technology that enables people to gain enjoyable and immersive information about museum collections. Drawing from the four realms of the experience economy, we assume absorptive experiences influence immersive experiences, overall museum VR tour experience, and intention to visit a museum. The results show that all the hypotheses are supported. Furthermore, we compared and tested the proposed model and its rival model (postulating the direct influence of the four realms of the experience economy on museum VR experience) and found that the proposed model is better than the rival model.</t>
  </si>
  <si>
    <t>Improve hardware comfort and audio isolation, avoid conflicting/persistent sensory cues, expand to richer modalities (heat/cold, 3D audio, haptics) with a full 360° actuator setup, and systematically study which variables most impact 360° sensory QoE.</t>
  </si>
  <si>
    <t>future studies could benefit by collecting data from various museums to provide more comprehensive and applicable results; further studies should include other factors of VR environments, enabling users to be immersed.</t>
  </si>
  <si>
    <t>The Introduction of a Novel Virtual Reality Training System for Gynecology Learning and Its User Experience Research</t>
  </si>
  <si>
    <t>CHEN-WEI CHANG; SHIH-CHING YEH; MENGTONG LI; EASON YAO</t>
  </si>
  <si>
    <t>School of Journalism, Fudan University, Shanghai 200433, China</t>
  </si>
  <si>
    <t>The researchers of this study designed a new virtual reality (VR)-assisted training system, IFOREAL, for gynecology students at their university and introduced it to potential trainees. Two versions of IFOREAL, each employing different devices, were developed. The consumer version uses a traditional LCD display and computer mouse, whereas the professional version utilizes a head-mounted display (HMD) and joystick controller for the virtual learning. Trainees watched simulated videos and interacted with the system to accomplish tasks. IFOREAL consists of several major learning modules of gynecology. This study used the normal spontaneous delivery module to research user experience and perceptions of the IFOREAL VR training system. The results suggested that most of the trainees' user experiences and perceptions of IFOREAL, using both the types of VR-assisted technology, were positively reported. Trainees who used the consumer version of IFOREAL perceived a stronger internal control, whereas trainees using the professional version perceived a better sense of virtual presence. Overall, trainees perceived the usefulness of the IFOREAL system which predicted their future intention to use the system and other similar VR-assisted training systems for learning. Furthermore, whether the virtual content of IFOREAL grabbed the trainees' attention predicted their future intenon to use professional devices of HMD/joysck for learning other subjects. The gender difference was also explored in the study. Generally speaking, female trainees gave better evaluations of IFOREAL compared to their male counterparts. They perceived a better internal control while using the consumer version than the professional version. Male trainees believed that the gadgets used in the professional version provided a better virtual presence and met their expectation of a virtual experience better. This study suggested that different versions of IFOREAL could serve trainees' different needs. Technology developers and trainers should tailor the application of different VR devices to assist with the training/learning in accordance with different conditions/trainees</t>
  </si>
  <si>
    <t xml:space="preserve"> IFOREAL VR system</t>
  </si>
  <si>
    <t>perceived usefulness, Ease of use, enjoyment, Behaviour control, internal control, attitude, satisfaction, confirmation, engagement, attention, presence, intention to use the system</t>
  </si>
  <si>
    <t>The interpretation of results based on questionnaire data might tell only part of the story, as it could be biased due to the nature of self-reports</t>
  </si>
  <si>
    <t>future studies could apply different research methods to gauge trainees’ user experience, such as a psychophysiological approach, which could provide empirical evidences other than the self-reporting data; researchers could further develop the system using haptic devices for practices such as palpation, which could possibly provide learners with an advanced virtual experience for gynecology training</t>
  </si>
  <si>
    <t>Holistic User eXperience in Mobile Augmented Reality Using User eXperience Measurement Index</t>
  </si>
  <si>
    <t>Fahad Ahmed Satti; Jamil Hussain; Hafiz Syed Muhammad Bilal; Wajahat Ali Khan; Asad Masood Khattak; Ju Eun Yeon; Sungyoung Lee</t>
  </si>
  <si>
    <t>Computer Engineering KyungHee University South Korea</t>
  </si>
  <si>
    <t>User eXperience (UX) evaluation in the field of Mobile Augmented Reality (MAR) is a challenging task, which requires the application of many heterogeneous methods, producing a variety of raw signals and subjective data. This multi-method approach is essential for capturing the holistic UX of any product, service or system. In order to convert this data into information and subsequently knowledge, a comprehensive and scalable system is required which can not only quantify the individual UX metrics but also produce a concise result, which is interpretable by anyone. We call this result, the User Experience Measurement Index, and in this paper we present the results of adopting the mixed method UX evaluation approach for evaluating a prototype MAR application using various methods and sensors, applied before, during, and after its usage. Additionally, we present the methodology and results for calculating the UXMI.</t>
  </si>
  <si>
    <t>MAR Madness</t>
  </si>
  <si>
    <t>Apply and validate the UXMI-based mixed-method UX framework with larger and more diverse user groups and across different interactive systems to confirm generalizability and support long-term MAR UX evaluation</t>
  </si>
  <si>
    <t xml:space="preserve">Effects of VR Gaming and Game Genre on Player Experience </t>
  </si>
  <si>
    <t>Michael Carroll; Ethan Osborne; Caglar Yildirim</t>
  </si>
  <si>
    <t>State University of New York at Oswego</t>
  </si>
  <si>
    <t>USA</t>
  </si>
  <si>
    <t>With the increasing availability of modern virtual reality (VR) headsets, the use and applications of VR technology for gaming purposes have become more pervasive than ever. Despite the growing popularity of VR gaming, user studies into how it might affect the player experience (PX) during the gameplay are scarce. Accordingly, the current study investigated the effects of VR gaming and game genre on PX. We compared PX metrics for two game genres, strategy (more interactive) and racing (less interactive), across two gaming platforms, VR and traditional desktop gaming. Participants were randomly assigned to one of the gaming platforms, played both a strategy and racing game on their corresponding platform, and provided PX ratings. Results revealed that, regardless of the game genre, participants in the VR gaming condition experienced a greater level of sense of presence than did those in the desktop gaming condition. That said, results showed that the two gaming platforms did not significantly differ from one another in PX ratings. As for the effect of game genre, participants provided greater PX ratings for the strategy game than for the racing game, regardless of whether the game was played on a VR headset or desktop computer. Collectively, these results indicate that although VR gaming affords a greater sense of presence in the game environment, this increase in presence does not seem to translate into a more satisfactory PX when playing either a strategy or racing game.</t>
  </si>
  <si>
    <t>Assetto Corsa and Defense Grid 2 VR Game</t>
  </si>
  <si>
    <t>Add physiological metrics, replicate Shelstad et al., explore additional game genres, and examine controller naturalness as a factor in PX</t>
  </si>
  <si>
    <t>Immersive UX: A UX Evaluation Framework for Digital Immersive Experiences in the Context of Entertainment</t>
  </si>
  <si>
    <t>Franciane Alves; Brenda Aguiar; Vinicius Monteiro; Elizamara Almeida</t>
  </si>
  <si>
    <t>Universidade Federal do Amazonas, Manaus, Amazonas, Brazil</t>
  </si>
  <si>
    <t>scitepress</t>
  </si>
  <si>
    <t>Digital Immersive Entertainment attracts thousands of people worldwide and can awaken new feelings and sensations in those who experience it. However, there is no standardized way of evaluating User eXperience (UX) and which UX measures should be considered in this context to determine whether the immersive experience was enjoyable and engaging for the audience. After considering how to evaluate the user experience in the context of immersive entertainment, we developed the Immersive UX, a UX evaluation framework considering important UX measures related to the evaluation of the immersive experience. In this sense, we based our framework on evaluating the following UX measures: flow, presence, and engagement. We carried out a study to investigate our framework’s feasibility by using it in a UX evaluation. This study examines how users felt when participating in a simulated cinema experience where they interacted with other people using different systems to support the immersive experience. We observed that our framework was able to capture what users feel when going through a systems-driven experience to support immersion. We were able to investigate users’ expectations and satisfaction, which allowed us to analyze whether the user’s immersive experience guided by digital systems was positive or not</t>
  </si>
  <si>
    <t>Entertainment</t>
  </si>
  <si>
    <t>player experience and sense of presence</t>
  </si>
  <si>
    <t xml:space="preserve"> home cinema</t>
  </si>
  <si>
    <t xml:space="preserve">Flow, presence, and engagement; </t>
  </si>
  <si>
    <t>Metaverse platform attributes and customer experience measurement</t>
  </si>
  <si>
    <t>Syed Mahmudur Rahman; Noman H. Chowdhury; Jana Lay-Hwa Bowden; Jamie Carlson</t>
  </si>
  <si>
    <t xml:space="preserve">Department of Marketing, Macquarie University, Sydney, NSW, 2109, Australia </t>
  </si>
  <si>
    <t>Australia</t>
  </si>
  <si>
    <t>Journal of Retailing and Consumer Services</t>
  </si>
  <si>
    <t>The metaverse has enormous potential to provide customers with novel experiences and support brand capabilities. Therefore, ensuring a high-quality customer experience in the metaverse is critical for the growth of metaverse platforms and brand success. However, while measures of customer experience in both traditional and digital contexts have long been established, they have not yet been adapted to the unique context of the metaverse. Employing a multiphase mixed-methods research design, we propose a simple 10-item scale to measure metaverse customer experience (MVCX) based on the evaluation of 10 key metaverse platform attributes: aesthetics, commerciality, communality, creativity, efficiency, immersion, interoperability, personalization, privacy, and trialability. Our reliability and validity tests across multiple studies demonstrate that the MVCX scale has sound psychometric properties and can reliably predict customer satisfaction, ongoing usage intentions, and share of time spent on a metaverse platform. This study offers the first operationalized, attribute-level model of MVCX, contributing to both the digital customer experience literature and practice. The short 10-item MVCX scale can be used by marketing managers to enhance customer experience and satisfaction, thereby ensuring brand success.</t>
  </si>
  <si>
    <t>aesthetics, commerciality, communality, creativity, efficiency, immersion, interoperability, personalization, privacy, and trialability</t>
  </si>
  <si>
    <t>validate MVCX across platforms and industries; run longitudinal studies on MVCX evolution and downstream outcomes; examine mediators/moderators and cultural/regulatory contexts; investigate inclusive/ethical design and mental-health impacts; and link MVCX to omnichannel behaviour, brand loyalty and firm-level outcomes.</t>
  </si>
  <si>
    <t>Enhancing Tourism Experience Through Video Augmented Reality in Interactive Tourism Media Guide and UX Measurement</t>
  </si>
  <si>
    <t>Ari Kusumaningsih; Cucun Very Angkoso</t>
  </si>
  <si>
    <t>Department of Informatics Engineering, University of Trunojoyo Madura</t>
  </si>
  <si>
    <t>Integrating Video Augmented Reality (AR) technology into tourism experiences has revolutionized how travelers engage with cultural heritage and historical sites. This study explores the implementation of Video AR in the context of an Interactive Tourism Media Guide, focusing on Madura dance, a vibrant cultural heritage. By harnessing the power of AR, this research contributes to the preservation of Madura dance and cultural heritage while enhancing tourists' understanding and appreciation. The study delves into the intricacies of the Linear Sequential Model (Waterfall model), ensuring the seamless integration of Madura dance content into the Tourism Media Guide. Furthermore, the study incorporates rigorous user experience (UX) measurement methodologies, providing valuable insights into user satisfaction with Video AR in enriching tourists' interactions with cultural artifacts. Our study not only advances the field of AR-enhanced tourism but also underscores its role in cultural preservation, offering a comprehensive framework for future multimedia-based tourism initiatives. Evaluation based on UX measurement show that our application demonstrates excellent attractiveness, stimulation, and novelty, with above-average perspicuity and good ratings in efficiency and dependability, signifying a compelling design, engaging experience, and overall positive user perception with room for minor enhancements.</t>
  </si>
  <si>
    <t>UEQ</t>
  </si>
  <si>
    <t>attractiveness, stimulation, novelty, perspicuity, efficiency, and dependability</t>
  </si>
  <si>
    <t>AR Madura Tourism booklet</t>
  </si>
  <si>
    <t>random</t>
  </si>
  <si>
    <t>Improve usability and reliability (efficiency, perspicuity, dependability), expand AR content and deployment to other cultural/tourism settings, and apply UX measurement to wider AR tourism applications.</t>
  </si>
  <si>
    <t>User Experience Research on Product Design Evaluation based on Virtual Reality Prototyping</t>
  </si>
  <si>
    <t>As a new type of virtual prototyping, virtual reality prototyping has been gradually applied in design evaluation for its good simulation results and interactivity. Understanding the application and characteristics of virtual reality prototyping in the design process is helpful in order to enhance the user experience and promote the iteration and optimization of products. In this paper, three questionnaires were designed to measure participants' experience in the evaluation of household product design schemes using different prototyping methods from five aspects. By comparing the significant differences in evaluation experience of virtual reality prototyping, physical prototyping and computer prototyping, this paper explores the evaluating items and contents applicable to evaluating design schemes by virtual prototyping. The result of this paper also provides new ideas for exploring user experience in the product development process.</t>
  </si>
  <si>
    <t>Zhang Lufang; Xiayi Dai; Xingyu Xu; Gaoyan Shi; Zhichuan Tang</t>
  </si>
  <si>
    <t>Zhejiang University of Technology, Hangzhou, China</t>
  </si>
  <si>
    <t xml:space="preserve">
Presence; immersion; visual aestatics; user impression; interaction</t>
  </si>
  <si>
    <t>VR sofa series</t>
  </si>
  <si>
    <t>In future studies, the authors suggest collecting objective participant data such as eye movements and facial muscle activity to validate the subjective experience reports; They recommend improving the VR evaluation system, process, and indicators, integrating the strengths of different evaluation environments; They also propose that virtual and physical prototyping evaluations should complement each other across the entire product development process, and call for further research to build a more complete evaluation system for product scheme design.</t>
  </si>
  <si>
    <t>An empirical study on user experience evaluation of VR interface in digital museums</t>
  </si>
  <si>
    <t>Xi Pei; Shiting Fu; Tingting Jiang</t>
  </si>
  <si>
    <t xml:space="preserve"> School of Imformation Management, Wuhan University, Wuhan, Hubei, China</t>
  </si>
  <si>
    <t>Virtual reality (VR) has been increasingly introduced to digital museums to enable more immersive experiences. However, there is a lack of comprehensive evaluation for user experience in VR-based digital museums. A comprehensive framework for evaluating user experience of VR interfaces in digital museums was created. Based on this framework, the study conducted an experiment to investigate learning effectiveness in VR-based digital museums and compared user experience on desktop and mobile devices. A total of 45 participants were recruited. They were asked to visit a digital museum on either a desktop or a mobile device. After they completed their visit, they took a recognition test and a recall test to measure their effectiveness of learning. Their user experience was evaluated using a new scale, followed by an open-ended interview to collect their opinions and feedback. It was found that introducing VR to the digital museum helped increase users’ effectiveness of learning. Significant differences existed between the desktop and mobile VR interfaces in user experience. It means that previous research findings cannot be directly applied to the user experience of digital museums on mobile. These empirical evidences also suggest that the established framework is effective for evaluating the user experience in VR-based digital museums.</t>
  </si>
  <si>
    <t>VR Panorama Palace Museum</t>
  </si>
  <si>
    <t>users’ perceptions, system usability, and effectiveness of learning, attitude, and intention.</t>
  </si>
  <si>
    <t>Digital museums are universal, so children, Digital museums are popular and universal, so children, middle-aged people and the elderly could be considered in the future.; In the future, physiological indicators could be considered in order to increase the generalizability of the findings</t>
  </si>
  <si>
    <t>From knowledge to action: Assessing the effectiveness of immersive virtual reality training on safety behaviors in confined spaces using the Kirkpatrick model</t>
  </si>
  <si>
    <t xml:space="preserve">Alessandro Evangelista; Vito M. Manghisi; Vito De Giglio; Raffaele Mariconte; Claudia Giliberti; Antonio E. Uva </t>
  </si>
  <si>
    <t>Polytechnic University of Bari, Via Edoardo Orabona, 4, 70126 Bari, Italy</t>
  </si>
  <si>
    <t xml:space="preserve"> VR room-scale (Copine Space)</t>
  </si>
  <si>
    <t>pragmatic and hedonic quality; perceived usability; Simulation Scikness</t>
  </si>
  <si>
    <t>Exploring User Experience and Usability in a Metaverse Learning Environment for Students: A Usability Study of the Artificial Intelligence, Innovation, and Society (AIIS)</t>
  </si>
  <si>
    <t>Aung Pyae; Werner Ravyse; Mika Luimula; Emiliana Pizarro-Lucas; Pedro L. Sanchez; Ignacio P. Dorado-Diaz; Aung Khant Thaw</t>
  </si>
  <si>
    <t>International School of Engineering, Faculty of Engineering, Chulalongkorn University, Bangkok 10330, Thailand</t>
  </si>
  <si>
    <t>Thailand</t>
  </si>
  <si>
    <t>The metaverse, a rapidly evolving research area, is a virtual, interconnected universe that seamlessly integrates digital and physical realms, facilitating immersive experiences, social interaction, and economic activities across various fields, including computer science, business, and education. Despite its potential to transform current pedagogies and learning experiences through engaging, interactive, and fascinating educational techniques, research is limited in exploring its application, usability, and user experience, particularly for Thai undergraduate students in learning computer engineering courses. In response, we designed and developed an innovative metaverse-based learning system called the AIIS collaborative learning interface, tailored to European undergraduate students. While the original intent of AIIS was to cater to medical students, in this study, our objective was to assess its usability and applicability for computer science and engineering students, specifically focusing on the Asian demographic. After an initial pilot with European students in their local context, the research was extended to Thailand, where 21 Thai undergraduate students evaluated the platform’s usability. The observations from this study indicate that AIIS provides a dynamic, user-friendly learning environment. Nevertheless, the evaluation process unveiled some usability flaws that offer informative directions for future enhancements. Drawing from our observations, we formulated usability guidelines to guide designers and developers toward crafting more efficient metaverse systems, particularly those intended for educational use. Our results also underline the considerable promise that metaverse technologies hold for advancing higher education globally.</t>
  </si>
  <si>
    <t>AIIS system</t>
  </si>
  <si>
    <t>additional validation step is required to assess its consistency with the results obtained from such evaluations. (Conduct follow-up studies comparing IVR-trained workers’ performance and safety outcomes in actual CS operations to confirm transfer of learning and behavior); Increase sample size and include female participants and other worker profiles to improve statistical power and generalisability</t>
  </si>
  <si>
    <t>Online</t>
  </si>
  <si>
    <t>Competence,  Immersion, Flow, Tension, Challenge, Negative affect, Positive affect</t>
  </si>
  <si>
    <t>The Evaluation Framework of User Experience in Educational Virtual Reality Games: The Case of ilab-x Platform</t>
  </si>
  <si>
    <t>Wuheng Zuo; Ziru Wu; Zhaohao Lu; Qing Liu</t>
  </si>
  <si>
    <t>Education College Zhejiang University of Technology Hangzhou, China</t>
  </si>
  <si>
    <t>User experience in educational virtual reality games has become an important research topic. However the virtual experimental items of the ilab-x platform in China is only evaluated from the popularity index, ranking interaction index, ranking praise index, ranking attractiveness index, and lack of a more comprehensive and in-depth user experience evaluation. Based on the literature review, this paper sorts out the basic framework of user experience, combined with Normans evaluation framework, and proposes an evaluation framework of user experience for virtual reality educational games, which is divided into three dimensions: sensory layer, behavior layer and emotional layer, as well as 5 first-level indicators and 20 secondary indicators. A total of 30 university students which from Zhejiang University of Technology participated in this study and their attitudes while using a virtual experimental item in the ilab-x platform were recorded by a questionnaire and interview. The results showed that the overall satisfaction of the subjects was lower in the sensory dimension and the scores in the behavioral and emotional dimensions were higher than those in the sensory dimension.</t>
  </si>
  <si>
    <t xml:space="preserve"> ilab-x platform</t>
  </si>
  <si>
    <t>For mainstream headset VR equipment evaluation system, further exploration and experimentation are needed; If you want to understand the general characteristics of the user group, the research conclusions must be biased or insufficient</t>
  </si>
  <si>
    <t>visual experience, auditory experience, interactive experience, learning experience, and emotional expereinec</t>
  </si>
  <si>
    <t>The evaluation of user experience of a human walking and a driving simulation in the virtual reality</t>
  </si>
  <si>
    <t>Ilsun Rhiu; Yong Min Kim; Wonjoon Kim; Myung Hwan Yun</t>
  </si>
  <si>
    <t>Division of Future Convergence, Dongduk Women’s University, Seoul, 02748, Republic of Korea</t>
  </si>
  <si>
    <t>International Journal of Industrial Ergonomics</t>
  </si>
  <si>
    <t>Virtual reality (VR) has been implemented in various applications such as gaming, e-learning, rehabilitation, etc.  Although many studies have been conducted to evaluate the user experiences (UX) of various applications in VR, there are few studies evaluating the UX of VR in a holistic view. Since user experience means holistic feelings caused by attributes like efficiency, effectiveness, pleasure, and attractiveness, it is necessary to evaluate user experience in many respects, including presence, usability, and workload. Therefore, this study aims to evaluate the UX of VR in four various metrics: presence, workload, usability, and flow. In this study, the user experience factor was confirmed through the previous studies comparing visual display terminals (VDT) and head-mounted displays (HMD). In addition, the UX difference between VDT and HMD in two different situations, walking and driving, is analyzed. The data of 26 participants were analyzed and found that there were significant differences in the four studied metrics  related to UX. In the driving situation, the usability value was higher in VDT, whereas they were higher in HMD for walking. Comparing the two contexts in HMD, walking was significantly higher in three metrics: presence, usability, and flow. The results show that HMD is better in terms of user experience than VDT, and HMD is more suitable for walking situations than for driving situations. Through this study, in terms of user experience, it is suitable to replace walking tasks with VR when the experiment in a real-world environment 
is impossible.</t>
  </si>
  <si>
    <t xml:space="preserve"> presence, workload, usability, and flow.</t>
  </si>
  <si>
    <t>City Car Driving and Pollen</t>
  </si>
  <si>
    <t>future UX studies that segment tasks and contexts, include more diverse samples to probe gender and experience effects, enhance HMD and VDT designs (reducing fatigue and improving presence), and compare VR with real environments using combined physiological and self-report measures</t>
  </si>
  <si>
    <t>New-user experience evaluation in a semi-immersive and haptic-enabled virtual reality system for assembly operations</t>
  </si>
  <si>
    <t>Sharon Macias-Velasquez; Hugo I. Medellin-Castillo; Abel Garcia-Barrientos</t>
  </si>
  <si>
    <t>Faculty of Engineering, Universidad Autonoma de San Luis Potosí, San Luis Potosi, Mexico</t>
  </si>
  <si>
    <t>Mexico</t>
  </si>
  <si>
    <t>perceptions of the product, emotions, consequences to use, realism, and physiological factors</t>
  </si>
  <si>
    <t>Haptic Assembly and Manufacturing System</t>
  </si>
  <si>
    <t>An Evaluation of User Experience in a Virtual Semiconductor Laboratory Utilizing HMDs during Covid-19 Pandemic</t>
  </si>
  <si>
    <t>Ahmed Jamah Ahmed Alnagrat; Abdalslam S Imhmed Mohamed; Abubaker Almintisir Abubaker Akeel; Rizalafande Che Ismail; Ababaker Mohamed Ibrahim Noureldeen; Syed Zulkarnain Syed Idrus</t>
  </si>
  <si>
    <t>Department of Computer Science and Information Technology Higher Institute of Science and Technology Wadi al-Shati Wadi al-Shati, Fezzan, Libya</t>
  </si>
  <si>
    <t>Libya</t>
  </si>
  <si>
    <t>Virtual reality (VR) technology has been increasingly adopted for creating engaging educational environments, such as virtual laboratories. This study evaluated the user experience of a virtual semiconductor laboratory environment, utilizing Reverb G2 HMD VR headsets, through a user experience questionnaire (UEQ-S) and a psychometric analysis of its 26 items. Results showed that most participants found the virtual laboratories enjoyable, understandable, creative, easy to learn, and valuable. The psychometric analysis revealed relatively consistent and reliable construct related to user experience. The Kruskal-Wallis H test demonstrated that participants perceived the VR headsets to be easier to use when they found the virtual laboratories more enjoyable. However, there were no significant differences in user experience scores based on preferred VR headset, and user experience did not predict headset preference. These findings suggest that VR technology presents a promising solution for addressing practical challenges in education and fostering student engagement, although further research is needed to optimize the user experience and enhance student motivation.</t>
  </si>
  <si>
    <t>HP Reverb G2</t>
  </si>
  <si>
    <t xml:space="preserve"> virtual laboratory (VL) environment</t>
  </si>
  <si>
    <t>usability, aesthetic appeal, and emotional engagement.</t>
  </si>
  <si>
    <t>Future work should refine the VR semiconductor lab to optimise UX and student motivation, particularly by incorporating gamification and personalised learning features to further increase engagement</t>
  </si>
  <si>
    <t>Digital smell technologies for the built environment: Evaluating human responses to multisensory stimuli in immersive virtual reality</t>
  </si>
  <si>
    <t>Muhammed Yildirim; Anastasia Globa; Ozgur Gocer; Arianna Brambilla</t>
  </si>
  <si>
    <t>School of Architecture, Design and Planning, The University of Sydney, Wilkinson Building G04, Sydney, NSW 2006, Australia</t>
  </si>
  <si>
    <t>Although the potential of virtual reality (VR) in studying human-built environment interactions is widely acknowledged, the focus has predominately been on audiovisual content, with other senses often considered secondary. Notably, the sense of smell has been largely neglected thus far, primarily due to its inherent complexity and challenges related to hardware and software implementations. To address this, this research develops and tests a novel approach to integrate the sense of smell into VR for assessing human responses to multisensory environmental stimuli. The proposed method leverages a commercially available high-end technological solution to develop an alternative approach for olfactory simulation in VR that takes significantly less time and effort. This approach provides a feasible and practical workflow for developing multisensory experiments around smell experiences in VR. It facilitates dynamic interactions with the sensory environments and captures a wide array of data streams related to user experiences. An experimental study was conducted in a workplace environmental context to test the feasibility of the developed approach. This paper reports the methodological framework, development pipeline, user testing procedure, and study results. This methodological approach overcomes the limitations associated with current digital smell delivery techniques, thereby contributing to advancing immersive research methodologies for simulating olfactory experiences in the built environment. Furthermore, it enables a holistic evaluation of human experience in the built environment, including cognitive performance, physiological health, psychological processes, emotional states, and behavioral aspects. The proposed approach holds promise for further exploration and application in the realm of multisensory environmental stimuli research and practice.</t>
  </si>
  <si>
    <t>multisensory virtual reality system</t>
  </si>
  <si>
    <t>cognitive performance, physiological health, psychological processes, emotional states, and behavioral aspects</t>
  </si>
  <si>
    <t>The realism of the simulated smells may not always match real-world equivalents perfectly, potentially impacting the overall immersive experience. To validate the proposed approach, a benchmark study be_x0002_tween the actual environment and MVRS exposure should be conducted; This suggests a need for future research to explore the application of MVRS in semi-outdoor and outdoor settings where there is a richer tapestry of olfactory experiences.; . In terms of the auditory environment, future research should consider employing spatial audio techniques like Ambisonics to create a more immersive soundscape experience</t>
  </si>
  <si>
    <t>Evaluating User Experience and Effectiveness of an Immersive Virtual Learning Environment</t>
  </si>
  <si>
    <t>This paper presents the user-centered prototyping and evaluation of an immersive Virtual Reality (VR) learning environment for vocational education. The VR prototype was developed to support Swiss apprentice electricians in preparing for their final practical exams. Based on proven questionnaires, an evaluation scheme was developed to assess the user experience both in the context of the iterative prototyping process and in the context of a field study. The field study with 70 apprentices was conducted to assess the impact of the VR learning prototype on learning success.</t>
  </si>
  <si>
    <t>Elke Brucker-Kley; Janick Michot; Thomas Keller; Martin Berger; Ilir Hundozi</t>
  </si>
  <si>
    <t>School of Management and Law, Zurich University of Applied Sciences, Winterthur, Switzerland</t>
  </si>
  <si>
    <t>Switzerland</t>
  </si>
  <si>
    <t>14th IIAI International Congress on Advanced Applied Informatics (IIAI-AAI)</t>
  </si>
  <si>
    <t>Immersive VR learning Environment</t>
  </si>
  <si>
    <t>Immersion; Presence;Flow; Usability; Emotions; Judgement; Experience consequences</t>
  </si>
  <si>
    <t>Extend the work to other vocational domains to explore whether VR learning units can help promote equal opportunities in basic vocational education and training; Develop ways to conduct in-VR, real-time UX evaluations and combine this immediate feedback with learning analytics</t>
  </si>
  <si>
    <t>Design and Implementation of User Experience Model for Augmented Reality Systems</t>
  </si>
  <si>
    <t>Shafaq Irshad; Dayang Rohaya Awang Rambli; Suziah Sulaiman</t>
  </si>
  <si>
    <t>Faculty of Information Technology and Electrical Engineering Norway</t>
  </si>
  <si>
    <t>Norway</t>
  </si>
  <si>
    <t>Mobile Augmented Reality (MAR) is a system that combines digital and virtual content for users so users are not fully immersed in the virtual world but can benefit from immersive experiences while still being in the real world. However, the end-user may experience various design challenges while using such immersive technologies. To deliver positive User Experience (UX), researchers need to understand the design factors, end-user challenges, and enhance the overall immersive UX for MAR. This research follows the design science approach to present a UX model for MAR, which encapsulate components and design factors that can aid in positive UX. We developed a MAR system to verify and validate the UX model by evaluating and benchmarking it. The experimental results show excellent system novelty, good attractiveness and perspicuity compared to the benchmark. The findings suggest that the efficiency, dependability, and stimulation of MAR can be improved to enhance the UX further. This study's research knowledge can be utilized to improve the immersive design and engineering of MAR services based on understanding the practical aspirations of potential end-users.</t>
  </si>
  <si>
    <t>Attractiveness, Perspicuity, Efficiency, Dependability, Stimulation, Novelty</t>
  </si>
  <si>
    <t>Database</t>
  </si>
  <si>
    <t>IEEE Xplore</t>
  </si>
  <si>
    <t>ACM DL</t>
  </si>
  <si>
    <t>Scopus</t>
  </si>
  <si>
    <t>Web of Science</t>
  </si>
  <si>
    <t>Designing and evaluating an immersive VR experience of a historic sailing ship in museum contexts</t>
  </si>
  <si>
    <t>Spyros Vosinakis; Panayiotis Koutsabasis; George Anastassakis; Andreas Papasalouros; Kostas Damianidis</t>
  </si>
  <si>
    <t xml:space="preserve"> Department of Product &amp; Systems Design Eng, University of the Aegean, Ermoupolis, Syros, 84100, Greece</t>
  </si>
  <si>
    <t>Greece</t>
  </si>
  <si>
    <t>Museums and exhibitions can benefit from immersive technologies by embodying visitors in rich interactive environments, where they can experience digitally reconstructed scenes and stories of the past. Nevertheless, public-space Virtual Reality (VR) interactions need to be short in duration, carefully designed to communicate the intended message, and optimized for the user experience, especially for first-time users. This paper contributes to the ongoing research on user experience in VR for cultural heritage through the presentation of the design and user evaluation of an installation that immerses users on board a historic sailing ship and has been part of a museum exhibition. We present the process of reconstructing the ship and developing the application with emphasis on design choices about the user experience (scene presentation, content delivery, navigation and interaction modes, assistance, etc.). We have performed a thorough user experience evaluation and present its results and our reflections on design issues regarding public VR installations for museums</t>
  </si>
  <si>
    <t>ArisVR</t>
  </si>
  <si>
    <t>Lab and Field</t>
  </si>
  <si>
    <t>Presence, paragmatic, hedonic and overall experience</t>
  </si>
  <si>
    <t>The authors recommend slowing narration, enhancing visual guidance and text readability, extending or versioning the experience length, and further refining locomotion and interaction design to better balance immersion, comfort, and learning in museum VR installations</t>
  </si>
  <si>
    <t>Gamified Immersive Learning and User Experience Evaluation of Metaverse-Based Cultural Heritage Education</t>
  </si>
  <si>
    <t>Muhammad Shahid Anwar; Miram Ali; Majed Elwardy; Shabir Ahmad; Pir Noman Ahmad; Mubashir Ahmad</t>
  </si>
  <si>
    <t>King Fahd University of Petroleum and Minerals Dhahran, Saudi Arabia</t>
  </si>
  <si>
    <t>Saudi Arabia</t>
  </si>
  <si>
    <t>The growing intersection of immersive technologies and cultural heritage presents an unprecedented opportunity to transform users' engagement with history and art. This research is motivated by the need to improve cultural experiences through the virtual recreation of historical sites. It employs a multi-user virtual reality (VR) environment with gamified elements to create more engaging, interactive, and educational platforms within the metaverse. This work focuses on Saudi Arabia's World Heritage Site to develop a virtual replica of Jabal Al-Ahmar using image processing and 3D modeling to ensure accuracy and authenticity in reconstructing its architectural and cultural elements. Through virtual recreation, users engage with these sites by unlocking interactive features and completing tasks that promote active learning and engagement with historical narratives. A subjective test with 46 participants compared experiences in both VR and non-VR conditions. User experience (UX) and sense of presence were evaluated using the User Experience Questionnaire (UEQ) and the Igroup Presence Questionnaire (IPQ). UEQ results showed that VR significantly outperformed non-VR in Stimulation and Novelty, while non-VR achieved higher Perspicuity scores. IPQ results revealed that VR participants reported a stronger sense of presence, higher involvement, and greater perceived realism compared to non-VR participants. Overall, the study demonstrates the potential of metaverse-based cultural heritage applications to combine education, preservation, and user-centered design for more impactful cultural experiences.</t>
  </si>
  <si>
    <t>Jabal Al-Ahmar virtual replica</t>
  </si>
  <si>
    <t>Hedonic; paragmatic; presence, and immersion level</t>
  </si>
  <si>
    <t>future studies should include larger and more diverse groups of participants, other technologies, and longer measures of engagement and learning outcomes</t>
  </si>
  <si>
    <t>HMD</t>
  </si>
  <si>
    <t>overall positive/negative/neutral experience</t>
  </si>
  <si>
    <t>Future work will focus on expanding the educational capabilities of the Metaverse environments, including the introduction of new drone types, diverse learning scenarios, and improved user feedback mechanisms</t>
  </si>
  <si>
    <t>Evaluation of an HMD-Based Multisensory Virtual Museum Experience for Enhancing Sense of Presence</t>
  </si>
  <si>
    <t>KIHONG KIM; OHYANG KWON; JEONGMIN YU</t>
  </si>
  <si>
    <t>National University of Cultural Heritage, Buyeo 33115, Republic of Korea</t>
  </si>
  <si>
    <t>Advancements in digital technology have enabled the production of head-mounted display (HMD) -based digital cultural heritage virtual reality contents that provide immersive experiences through audiovisual interaction in a three-dimensional virtual space. However, these contents do not support tactile sensations and only provide audiovisual information using a controller, which limits users’ perception of cultural assets. In this study, we propose an HMD virtual reality-based multisensory digital cultural heritage content that increases the feeling of presence by giving tactile sensations in addition to auditory and visual senses. We present a virtual museum content that implements dummy objects and virtual objects that are 3D printed by high-precision scanning of artifacts and connects their locations with sensors so that users can touch and move them in various directions to feel their shape and size and enhance the sense of reality. Thirty-two participants were recruited to conduct quantitative and qualitative evaluations on realism, immersion, and preference, to compare the proposed multisensory method with the traditional audiovisual method. The experimental results showed that the HMD-based multisensory virtual museum enhanced realism, as users can naturally touch the dummy and feel the presence of artifacts through bare-hand interaction and that immersion and preference are enhanced through the novel multisensory experience.</t>
  </si>
  <si>
    <t xml:space="preserve"> VR museum</t>
  </si>
  <si>
    <t>sense of presence, immersion, and satisfaction</t>
  </si>
  <si>
    <t>Enhancing the Educational Model Using Mixed Reality Technologies With Meta Quest 3: A Usability Analysis Using IBM-CSUQ</t>
  </si>
  <si>
    <t>SANTIAGO CRIOLLO-C; ANDREA GUERRERO-ARIAS; AGARIADNE DWINGGO SAMALA;  YUNIFA MIFTACHUL ARIF; SERGIO LUJÁN-MORA</t>
  </si>
  <si>
    <t>Carrera de Ingeniería en Ciberseguridad, Facultad de Ingeniería y Ciencias Aplicadas, Universidad de Las Américas, Quito 170125, Ecuador</t>
  </si>
  <si>
    <t>Ecuador</t>
  </si>
  <si>
    <t>In today’s education landscape, there is a lack of effective digital tools for hands-on teaching of PC and smartphone hardware assembly, especially in environments where physical resources are limited. This challenge is critical because practical learning in hardware is essential for developing technical skills in engineering students and related fields. Traditional alternatives, such as simulators or online tutorials, have not managed to provide an immersive and efficient learning experience. To address this need, Build_3D was developed—a mixed reality (MR) application designed for learning PC and smartphone hardware assembly, experienced through the Meta Quest 3 headset. The use of MR in an educational context is a topic of considerable debate, given the necessity for a comprehensive analysis of its potential advantages and disadvantages. This research proposes an evaluation of Build_3D’s usability using the Computer System Usability Questionnaire (IBM-CSUQ), focusing on three key dimensions: interface quality (INTERQUIAL), information quality (INFOQUIAL), and system usability (SYSUSE). The results indicate high user satisfaction, with interface quality rated the highest, followed by information quality and system usability. These findings suggest that this application provides an immersive and effective educational experience, minimizing cognitive load without compromising the quality of practical learning. The implications of this solution point to an improvement in hands-on hardware teaching through MR technologies, offering a viable and scalable alternative in educational environments with limited access to physical labs. Finally, this facilitates autonomous and motivating acquisition of technical skills for students.</t>
  </si>
  <si>
    <t>Build_3D</t>
  </si>
  <si>
    <t>Meta Quest 3</t>
  </si>
  <si>
    <t>IBM-CSUQ</t>
  </si>
  <si>
    <t>system usability; quality of information provided;  interface quality; overall assessment; Perceived Usefulness</t>
  </si>
  <si>
    <t>Future work could include students from different educational levels or even different fields of study (not just PC and smartphone hardware) to explore the effectiveness of using MR technology in other educational contexts; improving interface and messaging, and exploring AI-driven adaptive feedback in future versions of Build_3D</t>
  </si>
  <si>
    <t>Database Screening</t>
  </si>
  <si>
    <t># Studies Identified</t>
  </si>
  <si>
    <t># Studies Pass Duplicates Discard</t>
  </si>
  <si>
    <t># Studies Pass Eligibility Assessment</t>
  </si>
  <si>
    <t># Studies Included</t>
  </si>
  <si>
    <t>Science Direct</t>
  </si>
  <si>
    <t>TOTAL</t>
  </si>
  <si>
    <t># Studies Pass Title and Abstract Screening</t>
  </si>
  <si>
    <t>Total</t>
  </si>
  <si>
    <t># of papers included</t>
  </si>
  <si>
    <t>Expert-Based Review and Evaluation of the Gamified Mixed Reality Application From a User Experience Perspective</t>
  </si>
  <si>
    <t>Umm Alqura University, Makkah, Saudi Arabia</t>
  </si>
  <si>
    <t>Banjar, Areej; Send mail to Banjar A.; Alharthi, Sultan; Alturkistani, Sarah; Lone, Mutahira; Xu, Xuanhui; Campbell, Abraham</t>
  </si>
  <si>
    <t>This paper presents an expert-based review and evaluation of a gamified Mixed Reality (MR) application designed for dental education. The application designed and developed based on proposed theoretical and practical gamified MR frameworks, with the goal of enhancing the learning experience by employing the enhanced ARCS (Attention, Relevance, Confidence, Satisfaction) model with gamification (ARCS+G) to further increase motivation. The evaluation focuses on optimizing the application’s usability and, consequently, improving the user experience (UX). It also emphasizes the iterative process to ensure a user-centered design using rapid application development (RAD). This gamified MR application allows dentistry students to interact with holographic 3D dental models, providing an immersive and interactive learning environment integrated with game elements through the use of Microsoft HoloLens 2. The evaluation involved 25 experts from various fields including Computer Science, medical and health science, and game development, and was conducted in two rounds. The results from usability tests and UX assessments indicate that the application is effective in enhancing learning engagement, though areas for improvement were identified, particularly in user interface design and interaction flow. The findings contribute to the growing field of human-computer interaction (HCI) and the application of immersive technologies in education, offering a framework for future developments in gamified MR applications. © The Author(s), under exclusive license to Springer Nature Switzerland AG 2026.</t>
  </si>
  <si>
    <t>HoloDentist application</t>
  </si>
  <si>
    <t>Usability; Effectiveness; Efficiency; Satisfaction; Cognitive Workload; inventory experience</t>
  </si>
  <si>
    <t>dekstop VR</t>
  </si>
  <si>
    <t>DU</t>
  </si>
  <si>
    <t>the study was conducted during the national luckdown these limit the study in other ways such as: Focused on the most generalisable observations of our participants
regarding the experience of rehearsing in a visually co-located virtual space. Many variables we could not control for in this initial study likely contributed to the overall experience that we plan to examine in follow up studies.;  it did not observe any significant correlations between improvisational experience or group size and the result.</t>
  </si>
  <si>
    <t>Further research could control specifically for various performance conditions including standing versus seated performance, display size, lighting conditions, and audio interface as well as studying how other facilitator would use virtual Director and how various feutures of virtual director could be autemated.; incoprating larger study sizes however, may find interesting correlations between factors that would be useful for guiding development and practical with tele-immersive environment for performance.; in addition, future research should investigate the specific aspects of public performance through tele-immersive environments.</t>
  </si>
  <si>
    <t xml:space="preserve">AR virtual TV </t>
  </si>
  <si>
    <t>Future research should explore the user experience (UX) of Augmented Reality Television (ARTV) across diverse user segments, including older adults and individuals from various cultural backgrounds and abilities, to enhance understanding of ARTV's impact on different demographics;  important future work is to outline functional specification for varios regions of the ARTV continuum together with requirements for the content as well as the AR/VR rendering technology to deliver that content</t>
  </si>
  <si>
    <t>immersive speech &amp; language therapy application</t>
  </si>
  <si>
    <t>Although the implicit capture of EDA reveals an increase in physiological arousal for the VR group, this may be attributed to limitations associated with the technology. For instance, unlike the VR hardware, both the AR and tablet environments support native gesture controls. In addition, the display technology differs between each of the immersive multimedia devices</t>
  </si>
  <si>
    <t xml:space="preserve"> Future work will further explore the utility of EDA as a measure of cognitive load or stress within the context of a virtual assessment. In particular, the work will integrate and evaluate the utility of already established measures of cognitive activity, such as pupillary response.</t>
  </si>
  <si>
    <t>Future research could focus on expanding the sample size to better identify Key Performance Indicators (KPIs) for comparing haptic device configurations without structured interviews, which may enhance the reliability of results; Investigating the impact of different tasks and simulated tools on user experience could provide insights into the versatility of haptic technologies; There is potential for improving the comfort and force-feedback strength of the FFG, which could enhance user experience; The development of hand controllers with higher quality variable tactile feedback (VTF) is suggested as a promising area for future exploration</t>
  </si>
  <si>
    <t>The Lab VR game</t>
  </si>
  <si>
    <t>The paper suggests that its findings provide a preliminary study for standardized VR user experience evaluation, indicating that further work is needed to develop a comprehensive standard using larger and more diverse samples, richer combinations of subjective and physiological measures to move towards a more standardised, generalisable VR UX evaluation framework and provide stronger design guidelines for VR content creators.</t>
  </si>
  <si>
    <t>while the paper highlights the transformative potential of the Metaverse in education, it acknowledges significant hurdles related to content development, high costs and device size, and specific usability issues concerning system responsiveness and navigation clarity. These limitations suggest that further refinement and broader accessibility efforts are necessary for widespread adoption.</t>
  </si>
  <si>
    <t>while the Build_3D application shows significant promise for hardware education, the identified limitations highlight the need for broader participant inclusion, cross-institutional comparisons, long-term impact assessments, and specific interface improvements to maximize its educational potential.</t>
  </si>
  <si>
    <t>The user’s hands are only visible in VR when they are inside the Leap Motion sensor range.; The VIVE Pro HMD used in the study requires a PC and cable connection, which restricts user movement and makes it harder for participants to walk freely around the virtual exhibit.; " In summary, the main limitations revolve around the current technical constraints of hand tracking and the wired nature of the HMD system, which affect the seamlessness of tactile interaction and user mobility"</t>
  </si>
  <si>
    <t>the authors propose future work using standalone HMDs, extending the system to remotely accessible museums, enhancing tactile realism (texture/size/weight), and generalising multisensory VR museum design to wider cultural-heritage and educational contexts.; (Future work will focus on improving mobility, recognizing detailed differences in texture and weight, and applying the system to various museums with remote accessibility)</t>
  </si>
  <si>
    <t>while the interactive framework showed promise in engagement, it introduced challenges related to user experience, such as increased tension and lower perceived usability. The paper highlights the need for careful design of interactive elements to mitigate these issues and suggests further research to compare the system with traditional methods and evaluate its performance on various devices</t>
  </si>
  <si>
    <t>users' attitudes, perceived emotions, arousal, and feelings of presence</t>
  </si>
  <si>
    <t>Heavy HMD, weak and persistent scent, pixelated video, ambient and fan noise, and discomfort from wind. These limitations highlight the need for more advanced and integrated hardware solutions, refined sensory effect delivery mechanisms, and improved environmental control to enhance the overall Quality of Experience in 360-degree sensory environments</t>
  </si>
  <si>
    <t>Mobile</t>
  </si>
  <si>
    <t>Perception of instrumental qualities; non-instrumental quality and emotional resposes</t>
  </si>
  <si>
    <t>while the paper introduces a valuable multi-method UX evaluation approach and the UXMI, it acknowledges that the limited number of participants, the simplified testing context, and a potential sensor inaccuracy are factors that might influence the generalizability and completeness of its findings.</t>
  </si>
  <si>
    <t>Only subjective PX and presence measures, limited to strategy and racing genres, no physiological data (while the paper effectively demonstrates that VR enhances presence and that strategy games offer a better PX, its reliance on subjective data and limited genre scope suggests avenues for future research to provide a more holistic understanding of player experience in VR)</t>
  </si>
  <si>
    <t>The paper's primary limitation stems from the chosen development methodology, which is best for smaller, less complex projects, potentially restricting the scalability of the approach. Additionally, despite overall positive user feedback, the UX evaluation indicates specific areas like efficiency and dependability that, while good, still present opportunities for improvement, suggesting that the application is not without its minor imperfections.</t>
  </si>
  <si>
    <t>the paper highlights the potential of VR prototyping in design evaluation, it also emphasizes the need for more objective data collection, a broader scope for VR evaluation systems, and a more integrated approach that combines both virtual and physical prototyping to overcome the current limitations and enhance the robustness and generalizability of finding</t>
  </si>
  <si>
    <t>Desktop vr</t>
  </si>
  <si>
    <t>the paper's limitations include its reliance on a desktop VR system rather than more immersive headset VR, and a participant pool restricted mainly to college students, which may limit the generalizability of its findings</t>
  </si>
  <si>
    <t>while the study highlights the potential of VR in educational settings, it points to the need for further refinement in user experience design, improved psychometric properties of its evaluation tools, and a deeper understanding of factors influencing headset preference</t>
  </si>
  <si>
    <t>while the study provides valuable insights into the effectiveness and user experience of a VR learning environment for vocational training, it acknowledges limitations in fully exploring the relationship between UX and learning outcomes, certain aspects of UX performance, and the practical constraints of the field study design</t>
  </si>
  <si>
    <t>Geevor Tin Mine Museum</t>
  </si>
  <si>
    <t>education, entertaiment, estatics, and escapism</t>
  </si>
  <si>
    <t>limitations primarily revolve around the single-location data collection, the narrow scope of factors influencing immersion, and the specific cultural and technological context of the study. These limitations offer clear directions for future research to broaden the generalizability and depth of understanding regarding immersive VR experiences in cultural settings</t>
  </si>
  <si>
    <t>Roblox or the Sandbox platform</t>
  </si>
  <si>
    <t>while the MVCX scale is a significant contribution, the authors acknowledge that the metaverse is a dynamic and evolving domain, necessitating continuous research to refine and expand the understanding of customer experience within this new digital frontier.</t>
  </si>
  <si>
    <t>main limitations revolve around the narrow demographic of participants and the reliance on subjective self-report measures, suggesting a need for broader participant inclusion and more objective measurement techniques in future work</t>
  </si>
  <si>
    <t>sample size is modest and not gender-balanced, which limits generalisability.; The study did not evaluate long-term outcomes such as accident reduction or productivity in real confined spaces; transfer of skills from IVR to real CS environments is therefore not yet confirmed. (while the study provides strong evidence for the benefits of IVR training in confined spaces, particularly in user experience and behavioral improvement, its findings are constrained by the sample's demographics, size, and the short-term focus of the evaluation. Future research should aim to address these limitations through larger, more diverse cohorts and long-term, real-world validation studies.)</t>
  </si>
  <si>
    <t>while immersive VR offers significant potential for cultural heritage, its implementation in museum settings faces inherent limitations related to balancing user experience, educational goals, and technical feasibility. Design choices often involve trade-offs between realism and usability, and careful attention must be paid to content delivery and interaction methods to ensure an engaging yet informative experience for a diverse audience. The iterative development and thorough evaluation process were key to identifying and addressing these limitations</t>
  </si>
  <si>
    <t>To fully understand the quantitative differences in UX, future research should involve collecting physiological signals and comparing them with qualitative survey data. Additionally, there is a need for further studies to improve the performance of each UX indicator for specific devices, such as enhancing mental fatigue and inconvenience for HMDs or improving sound and visual effects for VDTs to boost presence . The study also suggests investigating the differences between real-world environments and HMDs for various situations</t>
  </si>
  <si>
    <t>future work also considers the evaluation of the UX on older new users. This age issue has been discussed and highlighted by Simonetto et al. (2022). ; Further studies should explore the long-term effects of task duration on UX during initial interactions in haptic-enabled virtual assembly systems</t>
  </si>
  <si>
    <t>Future research should evaluate user experience (UX) in new users with industrial experience, as the current study focused solely on young users without such experience; Implementing a second haptic device for left-handed individuals is suggested to mitigate fatigue and enhance balanced assembly activity, as in this study Only right-handed individuals participated, limiting generalizability.</t>
  </si>
  <si>
    <t>The scent delivery device, OVR ION 2, can only accommodate a maximum of nine scent cartridges and is limited to simulating a pre-defined set of smells; Moreover, in this case study, MVRS was tested within an indoor environmental context with limited olfactory experiences of pleasant scents.; OVR ION2 is no longer commercially available as the technology is progressing rapidly, as key limitations for future work.</t>
  </si>
  <si>
    <t xml:space="preserve">Future research should focus on demographic differences in the acceptance of VR applications and Investigating user experience in various application domains beyond cultural heritage is suggested, as results may differ in other contexts. </t>
  </si>
  <si>
    <t>introduced a novel approach multisensory virtual reality system (MVRS) that enhances the immersive experience by integrating sound and smell with visual elements. The approach leverages a commercially available high-end technological solution for simulating olfactory experiences.Based on the expariment conducted, the findings indicate that the inclusion of multisensory elements leads to a more engaging experience, demonstrating the potential for improved user engagement in virtual environments</t>
  </si>
  <si>
    <t>introduces a collaboration-based interaction method aimed at enhancing user presence and satisfaction in collaborative virtual environments. The study highlights the development of a immersive environment that allows for multi-user interactions. Based on the comparative experiments, the authors reviel that the collaborative experience environment provide various types of experiences and the sense of presence compared to single-user VR applications. Therefore, it can be expanded into the education and tourism sectors that require shared ideas and experiences as well as the collaboration-based entertainment (e.g., games, etc.) sector.</t>
  </si>
  <si>
    <t>Future research will focus on designing a variety of new applications to enhance collaborative experiences for more than two users.;  Comparative experiments will be conducted with a larger number of participants to improve the credibility of the analyses</t>
  </si>
  <si>
    <t>Introduces the concept of "immersive VR news" aimed to discern differences in UX and media effects among three types of news presentation: traditional video news, VR news without interaction, and VR news with interaction. The study identifies key differences in user engagement, showing that VR news with interaction enhances immersion, interest, accuracy, and credibility compared to traditional video new. The findings offer guidelines for the design and application of immersive VR news, aiming to improve its effectiveness in journalism.</t>
  </si>
  <si>
    <t>while this study provides valuable insights into immersive VR news, its limitations highlight the need for broader application, larger sample sizes, long-term impact studies, and more refined measurement techniques to enhance the robustness and generalizability of future findings</t>
  </si>
  <si>
    <t>analyzes two modalities for delivering online university lectures, focusing on the 'sense of presence' to enhance the learning experience during remote education due to the Covid-19 pandemic. The study compares a standard web conferencing system with a Virtual Reality social platform, assessing usability factors to explore potential improvements in distance learning. The findings highlights the importance of immersive VR in enhancing interactive lectures, despite current limitations in student interaction on platforms like Mozilla Hubs. The study proposes future developments, such as integrating tools for virtual laboratories, to further enhance educational experience.</t>
  </si>
  <si>
    <t>Desktop VR</t>
  </si>
  <si>
    <t>its limitations, particularly regarding the non-immersive VR setup and the participants' unfamiliarity with VR technology, suggest that the observed usability challenges might be overcome with improved technology access and user training.</t>
  </si>
  <si>
    <t xml:space="preserve">Future research could explore the integration of VR headsets to enhance the 'sense of being there', as preliminary results indicate potential benefits despite usability issues; Investigating the impact of immersive VR on learning outcomes is suggested, particularly comparing it to traditional desktop environments; </t>
  </si>
  <si>
    <t>present a Metaverse-based virtual campus tour that integrates interactive and immersive features, advancing beyond prior technologies limited to static visualizations and minimal interaction. The study systematically develops and evaluates the virtual campus tour using a four-phase framework, ensuring usability and user loyalty. Findings indicate that the system delivers meaningful value and demonstrates strong adoption potential, offering a replicable development model for applying Metaverse technologies in higher education.</t>
  </si>
  <si>
    <t>future work should focus on addressing sample diversity, ecological validity, accessibility, dynamic AI integration, and longitudinal evaluation to enhance the robustness and applicability of the findings</t>
  </si>
  <si>
    <t>Sample composition was imbalanced, limiting generalizability of findings; Device performance was evaluated in a controlled environment, reducing ecological validity; Accessibility features for users with impairments were not addressed; Evaluation was confined to a single institutional context, limiting transferability; Static NPCs limited adaptability and personalized user experience</t>
  </si>
  <si>
    <t>while the study provided significant findings on shared VR experiences, its primary limitation was the uncontrolled nature of dyadic interactions, which could influence emotional arousal and overall user experience</t>
  </si>
  <si>
    <t>The identified limitation regarding uncontrolled dyadic relationship factors also sets a path for future research. Subsequent studies could further investigate how dyadic relationships impact lived and perceived user experience in VR environments</t>
  </si>
  <si>
    <t>High learning curve for VR technology is a challenge; Limitations in body language during VR interactions were noted; Potential health issues associated with VR use were observed; Cybersecurity risks related to VR meetings were mentioned</t>
  </si>
  <si>
    <t>hile VR offers promising avenues for collaborative brainstorming by overcoming geographical barriers and providing immersive experiences, its current implementation faces hurdles related to user adoption, technical performance, and potential health and security concerns that require further development and research.</t>
  </si>
  <si>
    <t>The study focuses on the furniture area, limiting broader applicability; In-depth discussions on specific fields are recommended for future research; The research may not fully apply to other VR applications</t>
  </si>
  <si>
    <r>
      <t xml:space="preserve">future research, could explore specific areas so they can be better understood and achieve better research results.; </t>
    </r>
    <r>
      <rPr>
        <b/>
        <sz val="11"/>
        <color theme="1"/>
        <rFont val="Aptos Narrow"/>
        <family val="2"/>
        <scheme val="minor"/>
      </rPr>
      <t xml:space="preserve">Future research may explore diverse uses of gestures, voice operations, and infrared sensing to develop more user-centric interfaces and services; </t>
    </r>
  </si>
  <si>
    <t>present a a comprehensive analysis of user experience (UX) components in a semi-immersive and haptic-enabled virtual assembly system, focusing on product perceptions and emotional reactions.The study evaluates the UX of new users, contrasting with previous research that primarily focused on experienced users. The findings encourage the formulation of guidelines to enhance the user experience for new operators of such systems</t>
  </si>
  <si>
    <t>empirically evaluate UX of VR through four metrics: presence, workload, usability, and flow, providing a holistic view of UX in VR applications. It compared HMD and visual display terminal (VDT) setups in walking and driving situations. The results reviel that HMDs enhance user experience more effectively than VDTs, particularly in walking tasks, highlights the importance of understanding UX variations across different VR devices and contexts, contributing to the design of more effective VR systems.</t>
  </si>
  <si>
    <t>Present a novel approach to UX in Virtual Reality (VR) for cultural heritage, specifically through an immersive installation on a historic sailing ship. It emphasizes the design choices regarding scene presentation, content delivery, navigation, and interaction modes, enhancing user engagement. The authors conducted a thorough UX evaluation, providing insights into design issues for public VR installations in museums. It highlighted the importance of careful planning and collaboration among experts to ensure the success of VR projects.</t>
  </si>
  <si>
    <t>presents an Immersive Virtual Reality (IVR) training platform specifically designed for confined space safety procedures, addressing a critical need for effective training in hazardous environments. The study established a systematic validation procedure using the Kirkpatrick model to evaluate the effectiveness of IVR training compared to traditional methods. Results indicate that IVR training enhances user experience, knowledge transfer, and performance in simulated procedures, significantly reducing execution errors and completion times.</t>
  </si>
  <si>
    <t>develops a comprehensive framework for evaluating UX of VR-based digital museums. In addition, the study investigate the effectiveness of VR interfaces compared to traditional desktop and mobile devices. It combined two dimensions of cultural user experience (CUX): pragmatism and hedonism, allowing for a more precise evaluation of user interactions. The findings demonstrated that VR technology enhances immersion and knowledge learning, contributing to a better educational experience in digital museums.</t>
  </si>
  <si>
    <t>proposed a MVCX Model and formative MVCX measurement scale. The authors identifies essential attributes for evaluating metaverse experiences, including aesthetics, commerciality, and interoperability, and demostrate how consumer evaluations of these attributes influence satisfaction, usage intentions, and share of time spent on metaverse. Based on the PLS-SEM testing, the MVCX offers a robust tool for enhancing customer experience in the evolving virtual context of the metaverse, contributing to both theory and practice.</t>
  </si>
  <si>
    <t>Proposed a causal experience-economy model for museum VR. The Proposed model suggest that absorptive experiences (education and entertainment) influence immersive experiences (escapism and esthetics), which in turn enhance the overall VR museum tour experience and increase intention to visit a museum. The study utilized SEM to test the hypotheses and compare the proposed model with a rival model, which posits an indirect influence of absorptive experiences. The findings supported all the hypothesis of the proposed model, find it to be superior to the rival model, contributing to the broader discourse on museum engagement.</t>
  </si>
  <si>
    <t>presents the immersive VR learning environment designed for vocational education, aimed to investigate didactic and UX factors for effective VR learning environment design and assess its impact on learning success in a field study. The authors develop an evaluation scheme based on the existing instrument to assess UX. The UX evaluation was cunducted both in prototyping process and a field study. The results highlight that the VR learning unit developed positively impacts learning success, especially for assembly electricians.</t>
  </si>
  <si>
    <t>empirically evaluates UX in a virtual semiconductor laboratory environment using VR technology, highlighting its potential in educational settings. The study employs a user experience questionnaire (UEQ-S) to assess the effectiveness of the virtual laboratories, contributing to the understanding of user interactions with VR in education. The findings suggest that VR technology can address practical challenges in education, paving the way for further research to optimize user experience and enhance motivation</t>
  </si>
  <si>
    <t>proposes a multi-dimensional user evaluation framework that includes sensory, behavioral, and emotional layers, along with 5 first-level indicators and 20 secondary indicators. The authors highlights the limitations of current evaluation methods, which primarily focus on popularity and interaction indices, advocating for a more comprehensive approach. Based on the empirical research conducted. The findings suggest actionable recommendations for optimizing user experience in educational virtual simulation projects, such as enhancing interface design and interactive elements.</t>
  </si>
  <si>
    <t>explored the application of VR prototyping in product design evaluation, focusing on enhancing user experience and optimizing product iteration. The study compares VR prototyping (VRP) with traditional physical prototyping (PP) and computer prototyping (CP) methods to understand their effectiveness in evaluating design schemes. Baseed on the expariment, VR evaluation is a reliable method for assessing visual aesthetics, interaction, and ergonomics before mass production, though motion sickness in VR needs to be addressed.</t>
  </si>
  <si>
    <t>explores the integration of Video Augmented Reality (AR) technology into tourism, enhancing engagement with cultural heritage and historical sites, specifically focusing on Madura dances. The study employs rigorous UX measurement methodologies, providing insights into user satisfaction with Video AR. It advances the field of AR-enhanced tourism and emphasizes its role in cultural preservation, offering a framework for future multimedia-based tourism initiative. Evaluation result indicate that the application demonstrates excellent attractiveness and engagement, with positive user perceptions and room for minor enhancements.</t>
  </si>
  <si>
    <t>investigates the effects of virtual reality (VR) gaming on player experience (PX), highlighting the growing importance of VR in gaming contexts. The authors compares PX metrics across two game genres, strategy and racing, revealing that strategy games yield higher PX ratings. The research demonstrates that VR gaming provides a greater sense of presence compared to traditional desktop gaming, although this does not necessarily enhance overall PX. The findings suggest that the interaction level with virtual environments is a key predictor of presence, aligning with previous studies.</t>
  </si>
  <si>
    <t>Proposes a mixed-method UX evaluation approach for MAR, integrating various methods and sensors to capture holistic user experience metrics. In addition, the study introduces a unified User eXperience Measurement Index (UXMI), which quantifies individual UX metrics and produces interpretable results. The authors adopt the proposed approach to evaluate UX of prototype MAR application, utilizing various methods and sensors before, during, and after usage. It also details the methodology and results for calculating the UXMI. The findings suggest that a mixed method approach can enrich UX results, indicating its potential impact on future product development and service delivery.</t>
  </si>
  <si>
    <t>introduces the IFOREAL system, a novel VR-assisted training tool designed specifically for gynecology students, enhancing their learning experience. The study explores students' acceptance and intention to use VR technology for educational purposes, by comparing two devices (LCD display &amp; mouse and HMD &amp; joystick). The research highlights the importance of tailoring VR applications to meet the diverse needs of trainees, suggesting that different versions of IFOREAL can serve varying user requirements. The findings aim to inform technology developers and educators on effectively integrating VR into learning environments, potentially transforming traditional training practices.</t>
  </si>
  <si>
    <t>presents a subjective evaluation aimed at understanding how end users perceive additional sensory effects when consuming 360-degree video content through head-mounted displays (HMDs). The authors introduces a testbed and methodology for assessing the quality of experience (QoE) related to 360-degree video synchronized with additional sensory effects. Based on a user study, the findings indicated that integrating additional sensory effects with 360-degree video content significantly enhances the sense of presence, providing a directions for future research and development in creating more immersive and realistic sensory experiences.</t>
  </si>
  <si>
    <t>introduced a framework for integrating interactive elements into 360° videos. The proposed framework includes an editor and a video player, allowing users to add interactive content such as panels with information, quizzes, pictures, and 3D models to 360° videos. The study conduct an expariment comparing the usability and engagement of interactive versus non-interactive 360° videos, revealing that non-interactive versions achieved higher perceived usability. The findings suggest that immersive content, such as 360° videos, can significantly improve attention and retention in educational settings, particularly in health and safety training.</t>
  </si>
  <si>
    <t>proposed a framework for an HMD based multisensory virtual museum content that integrates tactile sensations with auditory and visual senses. The study presents a virtual museum that allows users to interact with 3D printed artifacts, and conducted an experiments to evaluate the proposed multisensory method against the traditional audiovisual method.The findings indicate that users reported a new experience of touching artifacts, which is not possible in real museums, thus conveying the study's intention effectively. Suggest that the proposed approach can attract more visitors to museums by providing realistic and engaging experiences</t>
  </si>
  <si>
    <t>introduces Build_3D, a mixed reality application designed to enhance the teaching of PC and smartphone hardware assembly in educational settings with limited physical resources. The authors evaluates the usability of Build_3D using the IBM-CSUQ, focusing on interface quality, information quality, and system usability. The findings indicate that the application provides an immersive and effective educational experience, emphasizing its ability to create safe and controlled learning environments while minimizing cognitive load.</t>
  </si>
  <si>
    <t>investigates how immersive technologies, particularly the Metaverse and VR, can improve educational experiences by incorporating gamification and novel teaching approaches.The MannaBrax SpatialVerse and Manna DroneVerse environments are developed to provide immersive experiences that foster critical thinking, socio-emotional development, and digital fluency. Expariment with educators highlight that, Immersive technologies support interdisciplinary, active learning, promote scalable and flexible access to cutting-edge education through simulations that allow students to tackle real-world challenges without logistical constraints.</t>
  </si>
  <si>
    <t>The study developed a novel VR teaching material titled 'Escape from the Material Room' specifically designed for K-12 education, utilized immersive and interactive VR technology to simulate scientific experiments. Usability evaluation was conducted to investigated the effective use of emerging technologies in K–12 education. The study identified key factors that enhance the effectiveness of VR teaching materials, including interaction design, intuitive user interfaces, and alignment of teaching content with learning objectives. The findings underscore VR's potential to drive educational innovation and improve learning experiences by leveraging its immersive and interactive features.</t>
  </si>
  <si>
    <t xml:space="preserve"> improvements in user guidance, interaction design, and the integration of mandatory experimental steps are necessary to optimize learning outcomes and user experience, especially for first-time users. These improvements aim to create a more natural and intuitive learning environment within VR.</t>
  </si>
  <si>
    <t>proposes a novel method to enhance the experience of touristic 360° promotional videos for tourism, aiming to provide a more intractive and informative user experience without causing information overload. The study evaluates the effectiveness of the proposed method against non-interactive version across both low-immersive (computer monitor) and immersive (HMD) setups. Results indicate that users prefer the interactive method over the non-interactive approach, regardless of the setup. The findings suggest that the proposed method could add significant value to touristic promotion compared to traditional methods.</t>
  </si>
  <si>
    <t>the study was limited to one domain which is 360 promotional video in tourism (Further tests are needed to confirm findings regarding presence scores)</t>
  </si>
  <si>
    <t>presents gamified MR application designed for dental education, aimed to enhance learning experience through interactive elements. the application is explicitly grounded in the ARCS+G motivational framework and developed iteratively using RAD. The author conduct an expert based evaluation to assess the application's usability and UX. The findings highlight the effectiveness of the application in improving learning engagement while identifying areas for improvement, particularly in user interface design. The study contributute to the field of HCI and IT in education, offering a framework for future development in gamified MR application.</t>
  </si>
  <si>
    <t xml:space="preserve"> the study involved a relatively small sample of experts, limiting the generalizability of the findings to broader user populations.;  the restricted field of view in Microsoft HoloLens 2, which affected immersion and usability; the study did not fully explore the long-term impact of using this application on learning outcomes, particularly in comparison to traditional methods of dental education.</t>
  </si>
  <si>
    <t>Future research should explore alternative MR hardware such as Meta Quest 3, 3S and Apple Vision Pro, which offer wider fields of view and improved graphical fidelity, potentially enhancing user engagement and task performance.; Future research could address these limitations by conducting longitudinal studies with a more diverse set of users and by comparing the effectiveness of gamified MR-based learning with conventional approaches.; The integration of advanced gamification elements, including adaptive learning features and real-time feedback, is suggested to improve the educational impact of the application</t>
  </si>
  <si>
    <t>Proposed a UX evalaution framework "'Immersive UX" specifically designed for digital immersive experiences in entertainment. The framework is based on ECT model, focosing on three core UX measures: flow, presence, and engagement, provides a standardized method for evaluating user experience in digital immersive entertainment. An empirical study was conducted simulating a home cinema experience to validate the framework. The findings demonstrates the feasibility of the framework through empirical research, highlighting its potential to identify improvement opportunities in immersive entertainment.</t>
  </si>
  <si>
    <t>it was conducted online (The empirical study, though successful in validating the framework's feasibility, faced practical limitations in reporting all data and in definitively pinpointing the causes of user satisfaction or dissatisfaction solely through observation.)</t>
  </si>
  <si>
    <t>future research sholud carry out more studies to investigate how the framework behaves in other immersive entertainment contexts, such as in crowds and face-to-face groups; Investigating additional UX measures beyond flow, presence, and engagement could provide a more comprehensive understanding of user experiences in immersive environments</t>
  </si>
  <si>
    <t>Details a usability study on the Artificial Intelligence, Innovation, and Society (AIIS) collaborative learning interface, a metaverse-based system designed for undergraduate students. AIIS comprises two main modules: AI and Soft Skills, each with six topics. The study employed mixed-methods approach combining quastionnare and interview for the usability and UX evaluation. The authors identified usability flaws in the AIIS system, providing informative directions for future enhancements and usability guidelines for metaverse systems in education.</t>
  </si>
  <si>
    <t>Limitations such as a constricted sample size, the concise duration of testing, demographic specificity, and the non-usage of immersive head-mounted displays during trials do cast certain shadows. These caveats accentuate the necessity for continued exploration and provide a roadmap for future investigations. (limitations highlight the need for continued exploration with broader participant demographics, longer study durations, and the inclusion of advanced immersive technologies to enhance the robustness of future conclusions and further refine metaverse-driven pedagogy)</t>
  </si>
  <si>
    <t>Future research should explore the barriers to the adoption of VR/AR/XR technologies and the metaverse, aiming to identify strategies that encourage more regular engagement with these innovative technologies; Researchers are encouraged to investigate the usability flaws identified during the evaluation process to guide the development of more efficient metaverse systems for educational use</t>
  </si>
  <si>
    <t>proposed the WSUS scale for assessing VR-based experiences in cultural heritage contexts. The WSUS incorporates a weighted scoring system that captures distinct aspects of user engagement, which conventional SUS does not adequately address. Two user study was conducted: the Tourisma Event and the DigiLab OpenDay Event, to test WSUS methodology. The findings indicate that WSUS scores correlate significantly with users' overall satisfaction and perceived learning outcomes, showcasing its effectiveness in evaluating VR usability.</t>
  </si>
  <si>
    <t xml:space="preserve"> while the WSUS offers a significant advancement for evaluating VR experiences in cultural heritage, its current limitations include the need for broader validation across diverse contexts and populations, and the potential for further refinement of the metric itself.</t>
  </si>
  <si>
    <t>directly compare UX between VR and AR versions within a real-world cultural institution setting, aimed to understanding how VR and AR versions affect user perceptions of presence, engagement, enjoyment, and whether they induce negative side effects. The study conduct user study involving 368 perticepant, utilizing immersive gallery experience called 'Virtual Veronese' offered in one VR version and two AR versions. The findings indicate that enjoyment and presence were significantly higher in the Oculus Quest compared to AR devices, suggesting that variations in immersion levels between devices may influence UX.</t>
  </si>
  <si>
    <t>while the study provides valuable insights into user experiences with VR and AR in a cultural setting, its generalizability is somewhat constrained by the specific demographic of participants.; Another limitation relates to the duration of the experience and the low number of reported negative effects. The experience lasted for only 6 min, and it is possible that more negative effects (such as fatigue and feeling uncomfortable) could have been reported if the intervention had lasted longer. Future studies could build upon these findings by addressing these limitations and exploring the role of environmental context and longitudinal user experience data.</t>
  </si>
  <si>
    <t>examines the immersion fueture of UHDTV by focusing on UX, aimed to to determine if users have a favorable response to UHDTV and if immersion enhances their viewing experience. The author futher examines the relationship between UX and the quality perception of UHDTV to develop a conceptual model for users QoE. The study employed a mixed-methods approach, combining an experiment and a survey to model UHDTV UX. The findings confirms the existing models of predicting user intentions with digital technologies and have potentials to provide new insight to the research of immersive technologies.</t>
  </si>
  <si>
    <t>limitations primarily revolve around the representativeness and generalizability of its sample, the need for a more comprehensive QoE framework that includes emotional and external factors, and the importance of considering varied technical and viewing conditions in future research</t>
  </si>
  <si>
    <t>P52</t>
  </si>
  <si>
    <t>proposes a collaborative immersive authoring tool designed for the real-time creation of multisensory VR experiences. The tool enables the fast prototyping of multisensory VR applications to any field. This novel approach include various collaborative dimension for competitive advantage. The study futher present an evaluation procedure which include two diffrent prototypes desktop and HMD, with the goal of determining which approach is more suitable. The findings demonstrating that an immersive interface, while potentially slower for task completion due to user unfamiliarity, significantly enhances user satisfaction and provides a better overview for authoring immersive VR experiences</t>
  </si>
  <si>
    <t>One significant limitation of the current study is that the developed prototypes are restricted to supporting the creation of multisensory 360 video experiences only. This means that the tool, in its current form, cannot be used to author virtual environments (VEs) directly.</t>
  </si>
  <si>
    <t>Future research is planned to extend the prototypes to allow for the immersive authoring of full virtual environments. This extension will also involve studying whether the results observed in the current study (e.g., user satisfaction with immersive interfaces)</t>
  </si>
  <si>
    <t>presents a novel comparison of user QoE in an immersive multisensory virtual wheelchair training system with three configurations: desktop, HMD (high motion acceleration), and HMD (low motion acceleration). The study employ both explicit and implicit metrics to assess UX of the configurations. The findings indicate that headset groups had higher usability and presence levels compared to the desktop group, showcasing the effectiveness of VR in enhancing user experience.</t>
  </si>
  <si>
    <t>Future research should aim to investigate the incidence of cybersickness in wheelchair simulators to improve content design. This includes using increased sample sizes with a balanced representation of gender and age, close contact with actual wheelchair users during experiments, and exploring different motion configurations and display types</t>
  </si>
  <si>
    <t>its primary limitations stem from participant group imbalances and weak data correlations, suggesting avenues for more robust future research.</t>
  </si>
  <si>
    <t>developed virtual museum (SHVM) which utilizes tangible UI to enhance UX in virtual reality cultural heritage applications. SHVM facilitate learning and critical reflection on historical events, through a participatory, interdisciplinary, and co-creative approach. The authors evaluates the usability and UX of the application through experiments with educators and students, confirming its potential as a learning tool. The findings highlights the SHVM's potential as a learning and education tool in museums, schools, or independently, fostering engagement with cultural heritage and promoting social remembrance.</t>
  </si>
  <si>
    <t>the research highlights the need for further refinement in experimental design, addressing hardware-related interaction issues, and expanding content and pedagogical guidelines to maximize its impact and generalizability; 2 limited triangulation with objective or behavioral data (e.g., task success, errors, time-on-task) and no physiological/cybersickness monitoring</t>
  </si>
  <si>
    <t>proposes a new method for simulating swimming in a comfortable sitting position in VR. It utilizes redirection technology to enhance the visual simulation of swimming.The method incorporates vestibular and proprioceptive simulation through swimming actions and postures, improving the overall user experience. Based on the preliminary expariment with users. Results indicate that the proposed method effectively created a good swimming experience through natural and realistic multi-sensory stimulation, which was unexpected given the challenges of simulating swimming in a seated position</t>
  </si>
  <si>
    <t>while the redirection method for VR swimming offers a novel and accessible approach, it faces challenges related to user comfort (physical exertion and motion sickness) and has a relatively narrow scope of validated application with a limited user study demographic</t>
  </si>
  <si>
    <t>while the study suggests that filling out presence questionnaires directly in VR can be beneficial by reducing study duration and disorientation, it highlights several limitations related to potential confounding variables, the nuanced nature of Break-in-Presence, the design and input methods of questionnaires, and the inherent reliance on memory in post-experience assessments. These limitations point to areas for future research to refine VR presence measurement.</t>
  </si>
  <si>
    <t>For future work, the authors recommend using a measure for immersion at the moment it is perceived, as questionnaires in VR can reduce score variance and avoid confusion after leaving the VR and removing the HMD</t>
  </si>
  <si>
    <t>highligh the design of user-centered metaverse experiences for cultural heritage preservation and promotion. It incorporates a serious multi-user game to enhance user engagement and allowing users to complete interactive tasks. The authors evaluate UX and presence in both VR and non-VR conditions, offering emprical evidence and design insights for immersive cultural-heritage learning. The findings underscore the potential of metaverse-based applications to combine education, preservation, and user-centered design for impactful cultural experiences.</t>
  </si>
  <si>
    <t>The participant sample size is limited geographically, so the results cannot be generalized; The study only includes Oculus Quest 2 (VR) and smartphone non-VR. Other immersive technologies such as AR and MR are not considered; Users spend a relatively short time in the virtual environment, which may limit how deeply they can explore, become familiar with the space, and achieve deeper engagement or learning.</t>
  </si>
  <si>
    <t>presents TeleFest, a system for livestreaming events using MR 360° content edited in real time by a producer. The system utilizes three 360° cameras placed among the stage and crowd, livestreaming to YouTube with augmented 3D virtual content. The authors administers surveys to gather user feedback on the exparimental setup. The result shows positive feedback for the setup and suggest that the addition of virtual and immersive content to live events could lead to a more enjoyable experience for viewers.</t>
  </si>
  <si>
    <t>while TeleFest successfully provided an immersive virtual concert experience, it faced several limitations related to technical integration with live event infrastructure, video and audio quality, and the extent of user interaction and socialization. Addressing these issues will be crucial for improving future mixed reality hybrid concert experiences</t>
  </si>
  <si>
    <t>Future research will investigate the individual components of the system to assess their contribution to overall participant enjoyment, particularly focusing on 360° video and virtual augmentations in isolation; The integration of multi-sensory aspects, such as replicating smells and room temperature, is suggested to enhance the authenticity of remote experiences; Developing a proprietary streaming platform is proposed to improve interaction among virtual attendees and extend beyond 360° videos, potentially reintroducing 3D environments</t>
  </si>
  <si>
    <t>presents a novel approach to enhance audience-performer interaction in immersive theater within virtual reality (VR) settings. The proposed approach integrates 3 types of interaction into an immersive virtual play: individual-based (IBI), scenario-based (SBI), and narrative-based (NBI), which are designed to improve audience engagement. A qualitative pilot study was conducted to gathere feedback about interaction experiences. The findings led to three design recommendations for future VR theater experiences: allowing audience decisions on scenario progression, clarifying audience identity, and increasing freedom to explore the VR space.</t>
  </si>
  <si>
    <t>it acknowledges limitations related to the depth of prior research in this specific interaction, the scope of its qualitative study, the uneven implementation of interaction types, and restricted audience freedom within the virtual environment. These limitations provide clear avenues for future improvements and research</t>
  </si>
  <si>
    <t>we plan to conduct deeper research in the following three aspects: (1) Future research will focus on improving the quality of scenario design and virtual avatars to enhance the VR theater experience (2) The authors plan to collaborate with theater professionals to apply their prototype in practical applications, (3) They aim to evaluate audience experience by integrating behavior studies and biometric measurements</t>
  </si>
  <si>
    <t>investigate how tele-immersion affects the rehearsal and performance of improvisational theatre. It introduces an original media server that co-locates remote performers in shared virtual 3D environments. The authors conducted a field study to examine the assumtions. The findings indicate potential applications of improvisational tools in designing immersive communication experiences, which could benefit various fields beyond the performing arts.</t>
  </si>
  <si>
    <t>examines the user experience (UX) of Augmented Reality Television (ARTV) across various forms and transitions. The authors conducted an experiment involved four ARTV scenarios, ranging from a virtual TV screen to an augmented living room with immersive TV, rendered using HoloLens. The study interprete results in the context of Garrett's five-plane model of UX, and propsed a sixth plane called “switch” that conveniently separates at a conceptual level the UX of transitions in the ARTV continuum. The findings contribute to human-centered computing, particularly in mixed and augmented reality, by offering empirical insights into user interactions.</t>
  </si>
  <si>
    <t>lithis study offers foundational insights into the UX of ARTV journeys and proposes a novel conceptual plane, its findings are constrained by a small, demographically specific participant pool and the limited number of ARTV scenarios explored. These limitations highlight clear directions for future, more comprehensive researc</t>
  </si>
  <si>
    <t>while the interactive virtual museum with haptic glove technology offers significant advancements in visitor engagement and learning, it still encounters challenges related to the realism of haptic feedback, the high cost of the technology, and the inherent limitations of virtual interaction compared to physical handling. These factors impact the full extent of sensory immersion and interpretation that can be achieved</t>
  </si>
  <si>
    <t>proposed a UX model for Mobile Augmented Reality (MAR), encapsulating components and design factors that enhance positive UX. It addresses the challenges users face with immersive technologies like MAR, where digital and virtual content are combined with the real world. A MAR system was designed and developed based on this UX model, and its effectiveness was verified and validated through evaluation and benchmarking. The findings suggest that while the system achieved positive results in novelty, attractiveness, and perspicuity, efficiency, dependability, and stimulation could be further enhanced to improve the overall UX</t>
  </si>
  <si>
    <t>Others/NA</t>
  </si>
  <si>
    <t>One primary limitation of the proposed UX model is its primary focus on factors that lead to a positive User Experience (UX), rather than addressing the fundamental question of 'what UX truly is; The model's general nature makes it less suitable for explaining UX in highly specific situations; Despite presenting a manageable theoretical framework, the model's broad applicability means it might not fully capture the nuances of every unique MAR application or user context.</t>
  </si>
  <si>
    <t>Future research should focus on understanding how users interact with augmented information to enhance positive user experience (UX) in Mobile Augmented Reality (MAR) systems; There is a need for domain-specific UX frameworks that address the design and evaluation of MAR applications, as existing studies have not comprehensively covered overall UX in this domai; Investigating the design factors and their relationships within the proposed UX model can aid designers and developers in creating more engaging MAR experiences.</t>
  </si>
  <si>
    <t>presents a novel comparison of QoE across three immersive technologies: AR, tablet, and VR. The authors develops a multimedia speech and language assessment application to evaluate users' understanding of semantic links on these platforms. The study utlized both expelicit and implit evaluation measures to assess QoE, highlighting the complexity of measuring UX. The findings indicate that AR and tablet technologies provide a higher QoE compared to VR, suggesting their potential for effective speech and language assessment.</t>
  </si>
  <si>
    <t>Investigates the performance of two consumer haptic device configurations in terms of UX during simulation-based VR experiences. It compares a VR glove with vibrational and force-feedback to a passive haptic-based mock-up, highlighting the effectiveness of different haptic feedback methods. The study addresses limitations in existing haptic devices by proposing configurations that combine less capable devices with alternative approaches to enhance haptic stimuli. The findings suggest that integrating physical props with VR systems can enhance the perceived realism of interactions, marking a novel approach in the field</t>
  </si>
  <si>
    <t>the primary limitations of this study include the relatively small sample size, which affects the generalizability of the findings and the ability to establish definitive objective performance indicators. Additionally, there are identified areas for improvement in the comfort and force feedback capabilities of the FFG, and a potential over-reliance on visual cues in the MK setup. The paper also acknowledges limitations in prior research, which it attempts to mitigate.</t>
  </si>
  <si>
    <t>introduces an event-based UX evaluation method for VR applications, focusing on the correlation between user traits, VR interaction events, and overall user experience. It defines four types of VR interaction events: Touch, Grab, Operation, and Move to enhance understanding of user engagement. The study employs a combination of subjective and objective method to evaluate UX. It utilizes an improved Prism rule induction algorithm to analyze data, contributing to more accurate UX assessments. During the expariment, eighty testers were divided into two groups to experience two VR games for a constant duration. The findings aim to provide valuable insights for VR designers and developers, potentially improving user stickiness and content design.</t>
  </si>
  <si>
    <t>The existing VR UX research on interaction is deemed insufficient, suggesting that the four defined interaction events (Touch, Grab, Operation, Move) might not cover the full spectrum of relevant interactions in VR, or that their impact needs further exploration; The study's findings are based on experiments with a limited number of samples (80 testers) and two specific VR games ('Slingshot' and 'Longbow'). This raises concerns about the generalizability of the rule sets to a wider range of VR applications or user demographics; and challenges in fully objective verification for all derived rules.</t>
  </si>
  <si>
    <t>Studies</t>
  </si>
  <si>
    <t xml:space="preserve">Journal </t>
  </si>
  <si>
    <t>Proceedings of the 2021 CHI Conference on Human Factors in Computing Systems</t>
  </si>
  <si>
    <t>Proceedings of the 2022 ACM International Conference on Interactive Media Experiences</t>
  </si>
  <si>
    <t>Workshop</t>
  </si>
  <si>
    <t>Jornal of Information and Management</t>
  </si>
  <si>
    <t>7th International Conference on Knowledge Innovation and Invention</t>
  </si>
  <si>
    <t>International Journal of Human–Computer Interaction</t>
  </si>
  <si>
    <t>ACM Journal on Computing and Cultural Heritage</t>
  </si>
  <si>
    <t>Springer Jornal of Multimedia Tools and Applications</t>
  </si>
  <si>
    <t>Journal of Safety Science</t>
  </si>
  <si>
    <t>MDPI Journal of Symmetry</t>
  </si>
  <si>
    <t>MDPI Journal of Virtual Reality</t>
  </si>
  <si>
    <t>Springer Journal of Education and Information Technologies</t>
  </si>
  <si>
    <t>MDPI Journal of Electronics</t>
  </si>
  <si>
    <t>Journal of Data and Information Management</t>
  </si>
  <si>
    <t>Journal of Building and Environment</t>
  </si>
  <si>
    <t>Journal of Behaviour &amp; Information Technology</t>
  </si>
  <si>
    <t>Journal of Computers &amp; Graphics</t>
  </si>
  <si>
    <t>Journal of Computers in Human Behavior</t>
  </si>
  <si>
    <t>Journal of Cyberpsychology, Behavior, and Social Networking</t>
  </si>
  <si>
    <t>11th International Conference of the Immersive Learning Research Network (iLRN)</t>
  </si>
  <si>
    <t>Conference on Next Generation Computing Applications (NextComp)</t>
  </si>
  <si>
    <t>IEEE Games, Entertainment, Media Conference (GEM)</t>
  </si>
  <si>
    <t>IEEE SmartWorld, Ubiquitous Intelligence &amp; Computing, Advanced &amp; Trusted Computing, Scalable Computing &amp; Communications, Cloud &amp; Big Data Computing, Internet of People and Smart City Innovation</t>
  </si>
  <si>
    <t>IEEE 11th International Conference on Consumer Electronics (ICCE-Berlin)</t>
  </si>
  <si>
    <t>MIPRO 48th ICT and Electronics Convention.</t>
  </si>
  <si>
    <t>IEEE 3rd International Maghreb Meeting of the Conference on Sciences and Techniques of Automatic Control and Computer Engineering (MI-STA)</t>
  </si>
  <si>
    <t>IEEE 7th International Conference on Virtual Reality (ICVR)</t>
  </si>
  <si>
    <t>IEEE Access Journal</t>
  </si>
  <si>
    <t>IEEE International Conference on Progress in Informatics and Computing (PIC)</t>
  </si>
  <si>
    <t>IEEE Transactions on Multimedia Journal</t>
  </si>
  <si>
    <t>Proceedings of the International Workshop on Intelligent Immersification in the Metaverse: AI-Driven Immersive Multimedia</t>
  </si>
  <si>
    <t>Extended Abstracts of the 2021 CHI Conference on Human Factors in Computing Systems</t>
  </si>
  <si>
    <t>Proceedings of the 13th ACM Multimedia Systems Conference</t>
  </si>
  <si>
    <t>Proceedings of the 18th International Conference on Advances in Mobile Computing &amp; Multimedia</t>
  </si>
  <si>
    <t>Proceedings of the 23rd International Conference on Enterprise Information Systems (ICEIS 2021)</t>
  </si>
  <si>
    <t>International Conference on Information Technology and Computing (ICITCOM).</t>
  </si>
  <si>
    <t>IEEE 8th international conference on serious games and applications for health (SeGAH)</t>
  </si>
  <si>
    <t>IEEE 10th International Conference on Virtual Reality (ICVR)</t>
  </si>
  <si>
    <t>Pblishers</t>
  </si>
  <si>
    <t>MDPI</t>
  </si>
  <si>
    <t>South Korea</t>
  </si>
  <si>
    <t>Countries</t>
  </si>
  <si>
    <t>data</t>
  </si>
  <si>
    <t>presents a design and development approach for an interactive virtual museum that integrates haptic glove technology with VR. It demonstrates innovative methods for communicating history, allowing visitors to engage with artefacts in ways that are not possible in real life. The authors conduct an expariment employing QUIS to evaluate user satisfaction and interaction with the prototype in a museum setting. The findings suggest that integrating technology into museum settings can effectively reinvent how history is communicated, addressing a previously noted lack of technological use in these environments.</t>
  </si>
  <si>
    <t>Virtual reality (VR) systems have been developed to enhance the conventional industrial design and manufacturing process, including worker training and factory planning. However, research studies have shown that the prolonged use of VR systems can result in certain discomforts among users. This research evaluates the user experience (UX) during the first interaction in a semi-immersive and haptic-enabled virtual assembly system. The aim is to evaluate the UX by considering variations in task duration in order to determine whether the length of the time spent on a virtual assembly task has an effect on the improvement or deterioration of the UX during the initial interactions of new users. The UX evaluation is based on key elements that characterize the user experience, such as perceptions of the product, emotions, consequences to use, realism, and physiological factors. In particular, the interest is to investigate whether these factors vary when performing a virtual assembly task along different time frames. The results have revealed significant differences in some dimensions of the user experience, physiological factors, and realism. This information encourages the formulation of guidelines to enhance the user experience of new operators of haptic-enabled virtual assembly systems</t>
  </si>
  <si>
    <t>Safety in the industrial sector is paramount, with national legislations establishing specific regulations to reduce accidents. These regulations emphasize risk removal and proper operator training as preventive measures. However, traditional training can be time-consuming and costly, leading companies to meet only the minimum requirements. In particular, confined spaces pose significant dangers, often resulting in fatal, cascading accidents due to a lack of proper safety procedures. Therefore, effective training is crucial to mitigate these risks. Advanced technologies like Immersive Virtual Reality (IVR) present new opportunities for cost-effective and extensive training campaigns by eliminating the risks associated with real environment training, offering a safe yet realistic experience. Despite the widespread adoption of IVR training applications in industrial research, there is a notable lack of systematic approaches to evaluate their effectiveness. Conducting such evaluations is crucial to ascertain their impact on essential training outcomes, including participant engagement, knowledge transfer, and enhanced safety behavior during work activities.
To address this gap, we developed an IVR-based training platform for confined space safety procedures and established a systematic validation procedure using the Kirkpatrick model to assess its effectiveness compared to conventional training methods. Results demonstrate that IVR training provides an excellent user experience, better knowledge transfer than the traditional approach, and improved performance in simulated procedures, reducing execution errors and completion times. This dual focus on creating and validating the IVR system underscores its potential as an effective training tool in hazardous environments such as confined spaces, where proper training can prevent tragic fatalities.</t>
  </si>
  <si>
    <t>proposes specific design criteria for UI/UX tailored for VR applications in E-commerce, aiming to improve the user's shoping experience by combining VR with e-commerse platforms. The study employs hybrid approach, utilizing a modified SEM-CPU to identify important design factors that improve the shopping experience in VR and the Delphi method to gather expert consensus on the proposed design criteria, ensuring high-quality decision-making. The findings provide actionable insights for E-commerce companies and system developers to improve consumer engagement and satisfaction in VR shoping experience.</t>
  </si>
  <si>
    <t>investigates the effects of social and interactive dimensions of virtual reality (VR) on user experience (UX), contributing to the understanding of how these factors influence engagement in VR environments particularly in real-life contexts, as the Metaverse gains prominence. It supports Zajonc's social facilitation theory by demonstrating that shared VR experiences elicit greater positive affect compared to individual experiences. The authors employed a mixed method approach combining psychophysiological and conventional UX measures to comprehensively assess users' immersive and affective experiences. The findings offer practical insights for VR developers, emphasizing the need for well-designed real-time tracking to enhance shared VR experiences without compromising immersion.</t>
  </si>
  <si>
    <t>evaluates the effectiveness of Virtual Reality (VR) in industrial design brainstorming by comparing emotional and interactive metrics between VR and traditional physical environments. An expariment with eight graduate students in both VR and physical brainstorming activities, found significant differences in emotional valence, arousal, and preference, indicating VR's higher effectiveness in enhancing brainstorming sessions. The results suggest that VR supports collaboration by reducing geographical constraints and providing richer interactive features, highlighting its potential to improve creativity and teamwork in industrial design.</t>
  </si>
  <si>
    <t>Investigations</t>
  </si>
  <si>
    <t>Evaluations</t>
  </si>
  <si>
    <t>Models</t>
  </si>
  <si>
    <t>Frameworks</t>
  </si>
  <si>
    <t>Methods</t>
  </si>
  <si>
    <t>Contributions</t>
  </si>
  <si>
    <t>No.</t>
  </si>
  <si>
    <t>P4</t>
  </si>
  <si>
    <t>P2</t>
  </si>
  <si>
    <t>P9</t>
  </si>
  <si>
    <t>P11</t>
  </si>
  <si>
    <t>P8</t>
  </si>
  <si>
    <t>P51</t>
  </si>
  <si>
    <t>P50</t>
  </si>
  <si>
    <t>P47</t>
  </si>
  <si>
    <t>P1</t>
  </si>
  <si>
    <t>P7</t>
  </si>
  <si>
    <t>P6</t>
  </si>
  <si>
    <t>P10</t>
  </si>
  <si>
    <t>P3</t>
  </si>
  <si>
    <t>P5</t>
  </si>
  <si>
    <t>P12</t>
  </si>
  <si>
    <t>P21</t>
  </si>
  <si>
    <t>P18</t>
  </si>
  <si>
    <t>P19</t>
  </si>
  <si>
    <t>P23</t>
  </si>
  <si>
    <t>P20</t>
  </si>
  <si>
    <t>P13</t>
  </si>
  <si>
    <t>P22</t>
  </si>
  <si>
    <t>P14</t>
  </si>
  <si>
    <t>P26</t>
  </si>
  <si>
    <t>P24</t>
  </si>
  <si>
    <t>P15</t>
  </si>
  <si>
    <t>P17</t>
  </si>
  <si>
    <t>P25</t>
  </si>
  <si>
    <t>P28</t>
  </si>
  <si>
    <t>P16</t>
  </si>
  <si>
    <t>P27</t>
  </si>
  <si>
    <t>P29</t>
  </si>
  <si>
    <t>P34</t>
  </si>
  <si>
    <t>P31</t>
  </si>
  <si>
    <t>P30</t>
  </si>
  <si>
    <t>P35</t>
  </si>
  <si>
    <t>P32</t>
  </si>
  <si>
    <t>P36</t>
  </si>
  <si>
    <t>P33</t>
  </si>
  <si>
    <t>P39</t>
  </si>
  <si>
    <t>P44</t>
  </si>
  <si>
    <t>P49</t>
  </si>
  <si>
    <t>P40</t>
  </si>
  <si>
    <t>P38</t>
  </si>
  <si>
    <t>P42</t>
  </si>
  <si>
    <t>P46</t>
  </si>
  <si>
    <t>P37</t>
  </si>
  <si>
    <t>P45</t>
  </si>
  <si>
    <t>P48</t>
  </si>
  <si>
    <t>P41</t>
  </si>
  <si>
    <t>P43</t>
  </si>
  <si>
    <t>Applications</t>
  </si>
  <si>
    <t>Samsung Galaxy Gear VR HMD</t>
  </si>
  <si>
    <t>investigate the effectiveness of Virtual Reality (VR) in industrial design brainstorming by comparing emotional and interactive metrics between VR and traditional physical environments. An expariment with eight graduate students in both VR and physical brainstorming activities, found significant differences in emotional valence, arousal, and preference, indicating VR's higher effectiveness in enhancing brainstorming sessions. The results suggest that VR supports collaboration by reducing geographical constraints and providing richer interactive features, highlighting its potential to improve creativity and teamwork in industrial design.</t>
  </si>
  <si>
    <t>investigated the effects of completing presence questionnaires in VR, as opposed to the traditional method of having participants leave VR to complete them in the real world (). Based on mixed-design study conducted, the findings provide design implications and directions for optimizing presence questionnaires for use within VR, contributing to improved methodologies in VR research.</t>
  </si>
  <si>
    <t>examine the UX of ARTV across various forms and transitions(). In addition, the study introduces a new conceptual plane “switch” to Garrett’s five-plane UX model, specifically for designing these ARTV journeys. Experiments with 14 participants across four senarius show that ARTV journeys offer a distinct and largely positive user experience, characterized by high usability and engagement.</t>
  </si>
  <si>
    <t>compare the QoE of immersive applications delivered across three multimedia platforms (AR, VR, and tablet). It highlights the differences in UX among these technologies, contributing to the understanding of their effectiveness. Explicit and implicit measures show that AR and tablet technologies provide higher QoE compared to VR, suggesting their potential for effective speech and language assessment.</t>
  </si>
  <si>
    <t>examine how VR gaming and game genre influence player experience (PX) by comparing strategy and racing games across VR and desktop gaming platforms. Their results show that strategy games elicit greater PX ratings compared to racing games, regardless of the platform used, suggesting the need for broader investigations into game genres and factors influencing PX in VR</t>
  </si>
  <si>
    <t xml:space="preserve">conduct a subjective user study, aimed at understanding how viewers perceive additional sensory effects when watching 360° video via HMDs. The results indicated that augmenting 360° video with additional sensory effects significantly increases perceived presence, supporting further development of more immersive and realistic sensory media experiences. </t>
  </si>
  <si>
    <t>investigates the performance of two consumer haptic device configurations in terms of UX in VR. They compare (i) a glove with vibration and force-feedback and (ii) a glove with vibration-only combined with a passive haptic mock-up. The results indicate that incorporating physical props with VR systems can enhance the perceived realism of interactions, marking a significant advancement in VR tool simulation.</t>
  </si>
  <si>
    <t>Lufang et al. investigated the application of VR prototyping in product design evaluation, aimed to improve UX and optimizing product iteration. The study compares VR prototyping with physical prototyping and computer prototyping to assess their effectiveness in evaluating design schemes. Results suggest that VR evaluation is a reliable method before mass production, although motion sickness remains a key limitation that requires mitigation.</t>
  </si>
  <si>
    <t>investigates how immersive technologies, particularly VR and Metaverse, can enhance education through gamification and innovative approaches. They develop SpatialVerse and DroneVerse, to simulate diverse scenarios and perform evaluation with educators. The results suggest that immersive technologies can support more engaging and interactive learning experiences and help prepare students for modern challenges.</t>
  </si>
  <si>
    <t xml:space="preserve">examine how the social and interactive dimensions of VR shape user experience and engagement. Based on mixed-method evaluations. Findings indicate that shared VR experiences can enhance positive effects without diminishing immersion, suggesting practical implications for VR developers. </t>
  </si>
  <si>
    <t>examines the UX and cognitive workload in digital storytelling through immersive VR, highlighting the relationship between user experience aspects and cognitive workload. The experiment result reveals strong interdependence among various UX scales, such as presence, immersion, and emotional response, suggesting broader applicability of findings across divers population</t>
  </si>
  <si>
    <t>develop school House Virtual Museum (SHVM), integrating a tangible UI to enhance UX in educational settings. SHVM facilitates learning and critical reflection on historical events. The usability and UX evaluation results indicate that SHVM provides generally positive UX, demonstrating its potential as an educational tool in museums settings.</t>
  </si>
  <si>
    <t>design and evaluate a gamified metaverse experience of Jabal Al-Ahmar, a UNESCO World Heritage Site, for cultural heritage preservation and promotion. By comparing UX and presence across VR and non-VR conditions, the study provides design insights for developing educational, user-centered Metaverse for cultural heritage learning.</t>
  </si>
  <si>
    <t>introduces IFOREAL, a VR-based childbirth simulation designed to train gynecology students. The authors evaluate students’ acceptance and intention to use VR for learning across two interaction setups (desktop and HMD). The findings provide practical guidance on effectively integrating VR into education and training, particularly in medical field.</t>
  </si>
  <si>
    <t xml:space="preserve">compare Visual Display Terminals (VDTs) and HMDs in walking and driving simulations to examine how device type and scenarios influence UX. The results indicate that HMDs enhance UX more effectively than VDTs, particularly in walking tasks, underscoring the need to account for context-specific UX differences when designing VR systems. </t>
  </si>
  <si>
    <t>develop and evaluate an Immersive VR (IVR) training module for confined space scenarios. Using a validation procedure based on the Kirkpatrick model, the platform supports both training and testing modes, enabling users to practice and assess their knowledge in realistic virtual environments. The experiment results indicate that the IVR training can improve safety procedures and performance in confined-space operations, highlighting its practical impact on workplace safety.</t>
  </si>
  <si>
    <t>investigate the UX and media effects of immersive VR news between traditional video news, VR news without interaction, and VR news with interaction. They develop an Immersive VR news that presents events from a first-person perspective and conducts empirical study. The findings highlight the added value of interactivity in VR news and provide design guidelines to improve the effectiveness of immersive journalism.</t>
  </si>
  <si>
    <t xml:space="preserve">conduct a mixed-method usability and UX evaluation of the “AIIS system”, a metaverse-based learning environment that integrates digital and physical experiences while supporting social interaction and economic activities. The results indicate positive usability outcomes and suggest that metaverse learning platforms may enhance higher-education experiences and support new approaches beyond conventional teaching methods. </t>
  </si>
  <si>
    <t>developed a VR teaching module "Escape from the Material Room," to support self-directed learning among junior high school students. The study evaluates its usability and user satisfaction to assess the suitability of emerging technologies in K-12 education. Findings underscore VR's potential to drive educational innovation and improve learning experiences by leveraging its immersive and interactive features.</t>
  </si>
  <si>
    <t xml:space="preserve">develop and evaluate a Metaverse-based virtual campus tour that adds interactive and immersive features, addressing limitations of existing static virtual tour. The system was developed using a four-phase framework to ensure usability and user loyalty. Evaluation results indicate that the system delivers meaningful value and shows strong adoption potential, offering a replicable approach for deploying Metaverse technologies in higher education. </t>
  </si>
  <si>
    <t>present an evaluation of a gamified MR application designed for dental education. The application is explicitly grounded in the ARCS+G motivational framework and was developed iteratively using RAD. Based on the expert-based evaluation from various settings. The results indicate that the application significantly enhances learning engagement and user satisfaction, offering a framework for future development of gamified MR applications.</t>
  </si>
  <si>
    <t xml:space="preserve">proposes a novel approach to enhance audience-performer interaction in immersive virtual plays by integrating individual-based, scenario-based, and narrative-based interaction modes. Based on the pilot study, the findings identify interaction features that improve the performance experience, leading to three design recommendations for future VR theater experiences.  </t>
  </si>
  <si>
    <t xml:space="preserve">present a design and development approach for an interactive virtual museum that integrates haptic glove technology within VR to enhance visitor engagement and learning. Their experimental results demonstrated that the integration of haptic technology with virtual reality significantly enhances visitor engagement and interaction with museum artefacts, providing a more immersive experience than traditional methods. </t>
  </si>
  <si>
    <t>proposes a novel method for simulating swimming while seated, addressing the limitations of existing complex and expensive setups. The method incorporates natural multi-sensory stimuli to create realistic swimming experience. Preliminary user experiments results indicate that this approach leads to good swimming feelings and immersion with minimal learning costs.</t>
  </si>
  <si>
    <t>proposes mixed-method UX evaluation approach for MAR, which captures a holistic UX through various methods and sensors on different usage stages. In addition, the study introduces a User Experience Measurement Index (UXMI) that quantifies individual UX metrics and produces interpretable results. Based on experiments in real MAR implementation. The findings suggest that a mixed method approach can enrich UX results, bridging gaps between subjective assessments and empirical data.</t>
  </si>
  <si>
    <t xml:space="preserve">introduces a comprehensive method for evaluating UX in VR, by combining subjective questionnaires with objective physiological data and an improved algorithm in realistic experiment. The findings provide insights into how user traits and interaction events influence VR experience, offering a foundation for optimizing VR content design and establishing standardized evaluation metrics. </t>
  </si>
  <si>
    <t>propose the Weighted System Usability Scale (WSUS), a new metric designed to evaluate the usability of VR experiences, particularly within cultural heritage contexts. The WSUS incorporates a weighted scoring system that captures distinct aspects of user engagement, which conventional SUS does not adequately address. A validation user study shows that WSUS scores correlate significantly with users' overall satisfaction and perceived learning outcomes, showcasing its effectiveness in evaluating VR usability.</t>
  </si>
  <si>
    <t xml:space="preserve">proposes an approach for integrating olfactory feedback into VR using an OVR ION 2 device compatible with VR headset, addressing the limited consideration of smell in VR research. Experimental results indicate that integrating digital smell increases user engagement and provides a feasible workflow for simulating and evaluating multisensory experiences in built environments. </t>
  </si>
  <si>
    <t>design and evaluate ArisVR, an immersive VR installation on a historic sailing ship, to study UX in cultural heritage settings. The authors analyze design choices for scene presentation, content delivery, navigation, and interaction to support user engagement. Findings highlight usability challenges specific to public-space interactions and provide practical insights for developing engaging and educational VR experiences.</t>
  </si>
  <si>
    <t xml:space="preserve">proposes ‘UI and UX design criteria of VR' for e-commerce, covering themes like screen, operation, safety, system functions, and transaction. It provides design and development suggestions for VR developers to improve UX in e-commerce. The study underscores the need for more academic work on VR in e-commerce and offers practical reference for industry practitioners. </t>
  </si>
  <si>
    <t>propose a collaborative and immersive authorizing tool that allows for the real-time creation of multisensory VR experiences. It supports fast prototyping of both desktop and immersive interfaces, addressing the current limitations for creating immersive multisensory content. The study validates the proposed tool through usability evaluation, demonstrating its effectiveness compared to conventional authoring approaches.</t>
  </si>
  <si>
    <t xml:space="preserve">introduces a collaboration-based interaction method aimed at enhancing user presence and satisfaction for HMD-based VR environments. An experimental result shows that collaborative interaction improves presence, enjoyment, and social interaction, providing design insights for building more engaging and effective collaborative virtual environments across various sectors. </t>
  </si>
  <si>
    <t>propose a novel interactive method to enhance 360° promotional videos for tourism, aiming to provide engaging and informative UX without causing information overload. The authors compare the proposed approach against non-interactive methods on both desktop and HMD setups. Results indicate that users prefer the interactive method over the non-interactive approach, highlighting its potential value in touristic promotion</t>
  </si>
  <si>
    <t xml:space="preserve">proposed HMD-based multisensory virtual museum framework. The framework integrates tactile sensations with auditory and visual senses to boost the sense of presence. A comparative evaluation against the traditional audiovisual content shows that incorporating tactile sensations significantly enhances users' sense of presence and immersion in virtual museums compared to traditional audiovisual methods. </t>
  </si>
  <si>
    <t>introduced a framework for integrating interactive element into 360° videos to enhance usability and engagement. The framework includes an editor and a video player that enable the creation and delivery of interactive 360° content. A three-stage comparison of interactive verses non-interactive videos shows that interactivity can increase perceived usability, despite introducing additional task load.</t>
  </si>
  <si>
    <t>proposed UX evaluation framework for educational VR games, structured into three layers: sensory, behavioral, and emotional. The framework specifies 5 first-level indicators and 20 secondary indicators for UX design evaluation. An empirical study supports the framework’s usefulness and yields practical recommendations for optimizing UX in educational VR projects.</t>
  </si>
  <si>
    <t xml:space="preserve">developed comprehensive framework for evaluating UX in VR-based digital museums grounded in Cultural User Experience (CUX) theory, covering both pragmatic and hedonic aspects. The study also investigates learning effectiveness of VR interface across device types (desktop and mobile). Experiment results demonstrate that VR technology enhances immersion and knowledge learning, contributing to a better educational experience in digital museums. </t>
  </si>
  <si>
    <t>Proposed "Immersive UX", a UX evaluation framework for digital immersive experiences in entertainment based on Expectation-Confirmation Theory (ECT) model. The framework adapts expectation, performance, and satisfaction stages, focusing on three core UX measures: flow, presence, and engagement. The authors demonstrate the framework feasibility through empirical study using a simulated cinema scenario. The findings show that richer user interaction and engagement are associated with stronger perceived immersion and overall experience quality.</t>
  </si>
  <si>
    <t xml:space="preserve">proposed UX model for MAR systems to enhance positive UX, addressing limited understanding of MAR design factors and end-user challenges. The model encapsulates key components including MAR features and design factors to resulting UX. The authors validate the model through the development and evaluation of MAR system. The findings indicate that the MAR system demonstrated excellent novelty, good attractiveness, and perspicuity compared to benchmark data, suggesting a positive UX overall. </t>
  </si>
  <si>
    <t>proposed a causal experience-economy model for museum VR to explain how immersive experiences translate into stronger museum-related outcomes. Using SEQ, the study shows that absorptive experience influences immersive experience, which in turn enhances the overall VR museum experience and increases intention to visit a museum. The proposed model is supported empirically and outperforms a rival model that posits direct impacts of the four realms of the experience economy on museum experiences. The findings suggest that VR museum design should emphasize edutainment factors to enhance visitor immersion and encourage onsite visitation.</t>
  </si>
  <si>
    <t>develop a Metaverse Customer Experience (MVCX) model and a formative 10-items measurement scale to support the assessment and management of customer experience (CX) in Metaverse. The study identifies key platform attributes shaping MVCX and demonstrate how MVCX relates to consumer satisfaction and behavioral intention. Using a multi-phase validation process, the findings contribute theoretically by operationalizing MVCX and practically by offering managers a structured tool for evaluating CX and guiding Metaverse branding.</t>
  </si>
  <si>
    <t>proposed a conceptual QoE model for Ultra-High-Definition Television (UHDTV) by linking UX to perceived quality and examining how user interactions with immersive UHDTV features shapes viewing experience. Using a mixed-method approach that combines experiment and survey, the findings confirm that greater technical immersion does not necessarily yield higher satisfaction or QoE. Instead, user-centric factors, particularly cognitive confirmation and individual perception, play a more significant role in determining immersion and overall QoE.</t>
  </si>
  <si>
    <t>Numer of studies</t>
  </si>
  <si>
    <t>We present TeleFest, a novel system for live-streaming mixed reality 360° videos to online streaming services. TeleFest allows a producer to control multiple cameras in real time, providing viewers with different locations for experiencing the concert, and an intermediate software stack allows virtual content to be overlaid with coherent illumination that matches the real-world footage. TeleFest was evaluated by livestreaming a concert to almost 2,000 online viewers, allowing them to watch the performance from the crowd, the stage, or via a catered experience controlled by a producer in real time that included camera switching and augmented content. The results of an online survey completed by virtual and physical attendees of the festival are presented, showing positive feedback for our setup and suggesting that the addition of virtual and immersive content to live events could lead to a more enjoyable experience for viewers.</t>
  </si>
  <si>
    <t>Immesive UHDTV</t>
  </si>
  <si>
    <t>Remote Collaboration</t>
  </si>
  <si>
    <t>Education &amp; Training</t>
  </si>
  <si>
    <t>HMDs</t>
  </si>
  <si>
    <t>DestopVR</t>
  </si>
  <si>
    <t>Screen Displ</t>
  </si>
  <si>
    <t>Oculus Rift DK2</t>
  </si>
  <si>
    <t>input category</t>
  </si>
  <si>
    <t>input device type</t>
  </si>
  <si>
    <t>joystic</t>
  </si>
  <si>
    <t>tracked controller / touch / tangible object / gesture / gaze / voice / tracked humans / mobile device spatial tracking</t>
  </si>
  <si>
    <t>Touch</t>
  </si>
  <si>
    <t>papers with two</t>
  </si>
  <si>
    <t>keyboard</t>
  </si>
  <si>
    <t>Microsoft HoloLens; Oculus Rift Dk</t>
  </si>
  <si>
    <t>-</t>
  </si>
  <si>
    <r>
      <t>grabbing”</t>
    </r>
    <r>
      <rPr>
        <sz val="11"/>
        <color theme="1"/>
        <rFont val="Aptos Narrow"/>
        <family val="2"/>
        <scheme val="minor"/>
      </rPr>
      <t xml:space="preserve"> and </t>
    </r>
    <r>
      <rPr>
        <b/>
        <sz val="11"/>
        <color theme="1"/>
        <rFont val="Aptos Narrow"/>
        <family val="2"/>
        <scheme val="minor"/>
      </rPr>
      <t>“releasing.”</t>
    </r>
  </si>
  <si>
    <t xml:space="preserve">HTC Vive Pro  </t>
  </si>
  <si>
    <t>tracked controllers</t>
  </si>
  <si>
    <t>Largescree</t>
  </si>
  <si>
    <t>Meta Quest 2 and 3</t>
  </si>
  <si>
    <t>Magic Leap AR and Mira Prism AR (Mobile); Oculus Quest VR</t>
  </si>
  <si>
    <t>none</t>
  </si>
  <si>
    <t>HTC Vive Pro</t>
  </si>
  <si>
    <t>Oculus Rift</t>
  </si>
  <si>
    <t>HoloLens 2</t>
  </si>
  <si>
    <t>Data type</t>
  </si>
  <si>
    <t>Sampling</t>
  </si>
  <si>
    <t>PE</t>
  </si>
  <si>
    <t>PE, INTR</t>
  </si>
  <si>
    <t>BU, DU, AU</t>
  </si>
  <si>
    <t>(pre-SSQ), NASA-TLX, SUS, SAM, IPQ, Post-SSQ</t>
  </si>
  <si>
    <t>MIX</t>
  </si>
  <si>
    <t>SUS, GEQ, IEQ, Interview</t>
  </si>
  <si>
    <t>INTR, PE</t>
  </si>
  <si>
    <t>Interview, Quest.</t>
  </si>
  <si>
    <t>INTR</t>
  </si>
  <si>
    <t>UEQ, IPQ</t>
  </si>
  <si>
    <t>interview</t>
  </si>
  <si>
    <t>Purposive</t>
  </si>
  <si>
    <t>Quest.</t>
  </si>
  <si>
    <t>EDA, HR</t>
  </si>
  <si>
    <t>ECG</t>
  </si>
  <si>
    <t>Quest., Interview</t>
  </si>
  <si>
    <t>SUS, GEQ</t>
  </si>
  <si>
    <t>TAM, SAM, PQ; Interview</t>
  </si>
  <si>
    <t>EEG</t>
  </si>
  <si>
    <t>SUS, PSSUQ, Interview</t>
  </si>
  <si>
    <t>SUS, NPS</t>
  </si>
  <si>
    <t>HR, EDA, EB</t>
  </si>
  <si>
    <t>BW</t>
  </si>
  <si>
    <t>QUIS, SUS, Interview</t>
  </si>
  <si>
    <t>IPQ, SSQ, ASQ</t>
  </si>
  <si>
    <t>Quest.,</t>
  </si>
  <si>
    <t>FWO</t>
  </si>
  <si>
    <t>self-report</t>
  </si>
  <si>
    <t>self-report &amp;obser</t>
  </si>
  <si>
    <t>self-report &amp; Phy</t>
  </si>
  <si>
    <t>Self-report &amp; obser &amp; phy</t>
  </si>
  <si>
    <t>P1,P14,P22,P35,P36,P44</t>
  </si>
  <si>
    <t>Convinence</t>
  </si>
  <si>
    <t>Online survey, IPQ</t>
  </si>
  <si>
    <t>Online Survey, Interview</t>
  </si>
  <si>
    <t>LT</t>
  </si>
  <si>
    <t>BEQ, pre-SSQ, RESQ; AEQ, post-SSQ, Open Feedback</t>
  </si>
  <si>
    <t>SUS, WSUS, Think-aloud</t>
  </si>
  <si>
    <t>GUESS, Presence scale</t>
  </si>
  <si>
    <t>online survey, MVCX scale</t>
  </si>
  <si>
    <t>Quest.(BU), KQ, UEQ, SUS, open feedback</t>
  </si>
  <si>
    <t>meCUE, IPQ, AP</t>
  </si>
  <si>
    <t>HR, RESP, BT</t>
  </si>
  <si>
    <t>HR, SCL</t>
  </si>
  <si>
    <t>Quest (BU)., VRUX-Q, NASA-TLX</t>
  </si>
  <si>
    <t>BU, AU</t>
  </si>
  <si>
    <t>SUS, IPQ, UEQ</t>
  </si>
  <si>
    <t>QUIS, UEQ, Focus Group, Think-aloud</t>
  </si>
  <si>
    <t>Interview, SUS, Quest.</t>
  </si>
  <si>
    <t>GEQ, Interview, N Heuristics</t>
  </si>
  <si>
    <t>Online and field</t>
  </si>
  <si>
    <t>survey scales</t>
  </si>
  <si>
    <t>SR</t>
  </si>
  <si>
    <t>BU</t>
  </si>
  <si>
    <t>L/F</t>
  </si>
  <si>
    <t>F/O</t>
  </si>
  <si>
    <t>Quest., interview, Think-aloud</t>
  </si>
  <si>
    <t>PQ (DU), NASA-TLX(AU)</t>
  </si>
  <si>
    <t>Pre-Quest., SUDS, UEQ</t>
  </si>
  <si>
    <t>snowballing</t>
  </si>
  <si>
    <t>OBS</t>
  </si>
  <si>
    <t>PHY</t>
  </si>
  <si>
    <t>PretestQ, PosttestQ., Interview</t>
  </si>
  <si>
    <t>QUESt.,  MRC</t>
  </si>
  <si>
    <t>Quest.,open feedback</t>
  </si>
  <si>
    <t>surveys scale, Interview, PT</t>
  </si>
  <si>
    <t>EQ (BU), SQ.,</t>
  </si>
  <si>
    <t>Healthcare</t>
  </si>
  <si>
    <t>Domains</t>
  </si>
  <si>
    <r>
      <t xml:space="preserve">With a rise in the use Virtual Reality (VR) applications in museums and exhibition displays, digital heritage has still shown limitations in what a visitor can experience from the intersection of technology and history. Traditionally, interpretative narrative within the museum has been communicated through text panels offering limited context from a largely connoisseurly perspective. In addition to these interactive digital resources are often data base orientated via touch screen technologies with no multisensory immersion. This paper addresses the digital changes in these educational landscapes and the way it is being handled to co-create digital tools for exhibitions to educate and entertain museum visitors. This paper explores the use of haptic technology in conjunction with virtual reality to facilitate multi-faceted modes of interpretation, that offer novel access to an artefact's history from a range of perspectives. It also provides evidence of increased visitor engagement with a ceramic display through these immersive methods to communicate a narrative. This research bridges the gap between history and technology to </t>
    </r>
    <r>
      <rPr>
        <sz val="11"/>
        <color rgb="FFFF0000"/>
        <rFont val="Aptos Narrow"/>
        <family val="2"/>
        <scheme val="minor"/>
      </rPr>
      <t>offer an immersive experience of visiting a museum virtually and providing an intimate one-one experience to interact with artefacts and learn about history</t>
    </r>
    <r>
      <rPr>
        <sz val="11"/>
        <color theme="1"/>
        <rFont val="Aptos Narrow"/>
        <family val="2"/>
        <scheme val="minor"/>
      </rPr>
      <t>. As its focus, this research digitally reconstructs a collection of East-Asian ceramics bequeathed by Ernest Thornhill in 1944 to North Staffordshire Technical College (Now known as Staffordshire University). The digital prototype was developed to replicate the museum environment without the restrictions to access artefacts and handle them. This experience offers visual insights to contextualise the history of a ceramic to be utlised as an education tool to enhance learning within a museum setting. Evidence showed a significantly positive response to this prototype in museum and gallery settings, responses revealed these methods of interaction did assist in learning about ceramics, with a distinct majority of participants confirming these installations would encourage future visits, shaping the possibilities of how history can be combined with technology to create new and innovative solutions to learn about an artefact</t>
    </r>
  </si>
  <si>
    <t>This article examines the user experience and cognitive workload in digital storytelling through immersive virtual reality (VR). Specifically, it explores the relationship between various aspects of the user experience and their link to the cognitive workload. The investigation was conducted by means of a large-scale evaluation of an underwater archaeological VR experience that simulated diving into the reconstructions of a submerged ancient site combined with interactive 360 video storytelling. The evaluation included 125 participants from two different geographical locations. Results revealed a strong interdependence between all user experience scales, including presence, immersion, engagement, emotional response, state of flow, subjective judgment, and technological adoption of the VR equipment. Moreover, the sense of presence in VR was strongly related
to the reported task performance. The article highlights the importance of understanding the user experience and cognitive workload when creating digital storytelling applications in immersive VR</t>
  </si>
  <si>
    <t>Cultural Heritage &amp; Exhibition</t>
  </si>
  <si>
    <t>ARmagazine</t>
  </si>
  <si>
    <t>Art &amp; Design</t>
  </si>
  <si>
    <t>Manufacturing</t>
  </si>
  <si>
    <t>Hand Input</t>
  </si>
  <si>
    <t>Non-Hand Input</t>
  </si>
  <si>
    <t>Glove</t>
  </si>
  <si>
    <t>Keyboard</t>
  </si>
  <si>
    <t>Leap Motion controller</t>
  </si>
  <si>
    <t>Xbox Controller</t>
  </si>
  <si>
    <t>P15, P17, P20, P42, P47</t>
  </si>
  <si>
    <t>P1, P10, P2, P3, P4, P5, P7, P9, P12, P13, P14, P18, P19, P21, P23, P25, P27, P28, P29, P30, P32, P33, P36, P37, P38, P39, P34, P43, P44, P45, P46, P50, P52</t>
  </si>
  <si>
    <t>Retail &amp; Marketing</t>
  </si>
  <si>
    <t>DesktopVR</t>
  </si>
  <si>
    <t>LSDs</t>
  </si>
  <si>
    <t>P50, P51</t>
  </si>
  <si>
    <t>P6, P9</t>
  </si>
  <si>
    <t>P35, P39</t>
  </si>
  <si>
    <t>P46, P52</t>
  </si>
  <si>
    <t>Number</t>
  </si>
  <si>
    <t>M.B Umar</t>
  </si>
  <si>
    <t>A.Abdulhamid</t>
  </si>
  <si>
    <t>Publication Venues</t>
  </si>
  <si>
    <t>Collaboration</t>
  </si>
  <si>
    <t>Academic</t>
  </si>
  <si>
    <t>Academic-Industry</t>
  </si>
  <si>
    <t>Industry</t>
  </si>
  <si>
    <t>Industry-Academic</t>
  </si>
  <si>
    <t>Team Size</t>
  </si>
  <si>
    <t>School of Computing and Digital Technologies, Staffordshire University</t>
  </si>
  <si>
    <t>Smart Tourism Research Center, Kyung Hee University</t>
  </si>
  <si>
    <t>Participantns Sample size</t>
  </si>
  <si>
    <t>Nil</t>
  </si>
  <si>
    <t>Model used</t>
  </si>
  <si>
    <t>Self Report Evaluation</t>
  </si>
  <si>
    <t>Observation Evaluation</t>
  </si>
  <si>
    <t>Physiological Evaluation</t>
  </si>
  <si>
    <t>Expariment Location</t>
  </si>
  <si>
    <t>Period of Evaluation</t>
  </si>
  <si>
    <t>Reviewed  by</t>
  </si>
  <si>
    <t>Virtual reality user interface design: Best practices and implementation</t>
  </si>
  <si>
    <t>Esin Mehmedova;  Santiago Berrezueta-Guzman; Stefan Wagner</t>
  </si>
  <si>
    <t>Technical University of Munich, Heilbronn, Germany</t>
  </si>
  <si>
    <t>Displays</t>
  </si>
  <si>
    <t>Designing effective user interfaces (UIs) for virtual reality (VR) is essential to enhance user immersion, usability, comfort, and accessibility in virtual environments. Despite the growing adoption of VR across domains, there is a noticeable lack of unified and comprehensive design guidelines for VR UI design. To address this gap, we conducted a systematic literature review to identify existing best practices and propose 28 unified guidelines for UI development in VR.
Building on these insights, this research proposes a framework to guide the creation of more effective VR interfaces. To demonstrate and validate these practices, we developed a VR application called FlUId and an interactive Web Tool that serves as a guideline explorer and project planning resource for developers. A user study was conducted to evaluate the impact of the proposed guidelines. The findings aim to bridge the gap between theory and practice, offering concrete recommendations and digital tools for VR designers and developers.</t>
  </si>
  <si>
    <t>FlUID</t>
  </si>
  <si>
    <t xml:space="preserve"> Meta Quest 3s</t>
  </si>
  <si>
    <t>Quest., Open ended</t>
  </si>
  <si>
    <t>propose unified guidelines for UI development in VR. To demonstrate and validate these practices, we developed a VR application called FlUId and  an interactive Web Tool that serves as a guideline explorer and project planning resource for developers. A user study was conducted to evaluate the impact of the proposed guidelines. The findings aim to bridge the  gap between theory and practice, offering concrete recommendations and digital tools for VR designers and developers.</t>
  </si>
  <si>
    <t xml:space="preserve"> To assess the design’s effectiveness  over time, extended exposure studies could be conducted to identify potential long-term comfort and usability issues. Such integration could reveal new challenges and considerations for designing interfaces in VR. Another promising direction involves incorporating emerging technologies such as eye-tracking and advanced haptic feedback systems.  These technologies offer new opportunities to enhance interaction, but also require the development of guidelines tailored to their unique capabilities. While such implementations were not feasible with the hardware available in this study, future research could focus on identifying design principles for gaze-based and haptic interaction across different VR platforms.</t>
  </si>
  <si>
    <t>Development and Usability Evaluation of a Leap Motion-Based Controller-Free VR Training System for Inferior Alveolar Nerve Block</t>
  </si>
  <si>
    <t>Jun-Seong Kim; Kun-WooKim; Hyo-JoonKim; Seong-YongMoon</t>
  </si>
  <si>
    <t>Clinical Coordinating Center, College of Dentistry, Chosun University, Gwangju, Republic of Korea</t>
  </si>
  <si>
    <t>This study developed a virtual reality (VR) simulator for training the inferior alveolar nerve block (IANB) procedure using Leap Motion-based hand tracking and the Unity engine, and evaluated its interaction performance, task-level outcomes within the simulator, and usability. Built on a 3D anatomical model, the system provides a pre-clinical practice environment for realistic syringe manipulation and visually guided needle insertion, enabling repeated rehearsal of the procedural workflow. Interaction stability was assessed using participant-level gesture recognition rates and input latency. Usability was evaluated via a questionnaire addressing ease of use, cognitive load, and perceived educational usefulness. The results indicated participant-level mean gesture recognition rates of 88.8–90.5% and mean response latencies of approximately 64–66 ms. In usability testing (n = 40), the item related to perceived procedural skill improvement received the highest score (4.25/5.0). Because this study did not include controlled comparisons with conventional training or objective measures of clinical competency transfer, the findings should be interpreted as preliminary evidence of technical feasibility and learner-perceived usefulness within a simulated setting. Controlled comparative studies using objective learning outcomes are warranted.</t>
  </si>
  <si>
    <t>developed a virtual reality (VR) simulator for training the inferior alveolar nerve block (IANB) procedure using Leap Motion-based hand tracking and the Unity engine, and evaluated its interaction performance, task-level outcomes within the simulator, and usability</t>
  </si>
  <si>
    <t xml:space="preserve"> IANB VR simulator</t>
  </si>
  <si>
    <t>leap Motion controller</t>
  </si>
  <si>
    <t>Quest</t>
  </si>
  <si>
    <t>Future work will incorporate user-specific calibration and learning-based gesture recognition to improve robustness, and will explore optional tactile augmentation to increase procedural realism. Educational outcomes will be evaluated using controlled comparative study designs (e.g., in comparison with mannequin/phantom-head practice and haptics-augmented simulators) with objective metrics such as error rates, completion time, retention, and validated performance proxies, and will further examine whether simulator gains transfer to external or clinically relevant settings</t>
  </si>
  <si>
    <t>Design and Evaluation of a Collaborative XR Framework with Abstract Building Blocks for Manufacturing System Prototyping</t>
  </si>
  <si>
    <t>Shaun Macdonald; Bixun Chen; Yuanjie Xia; Rami Ghannam</t>
  </si>
  <si>
    <t>School of Computing Science, University of Glasgow, Glasgow G12 8QQ, UK</t>
  </si>
  <si>
    <t>Manufacturing systems are complex installations designed and developed by stakeholders with differing expertise. However, system design primarily features traditional methods, long lead times, and siloed environments, which obstruct comprehension, communication, or collaboration. Prior research has used extended reality (XR) to prototype and visualise specific manufacturing applications; however, flexible system modelling remains complex. To address these issues and lay the foundation for future-facing manufacturing design as part of Industry 4.0, we introduce ARTIFY—a prototype XR framework for conceptual system prototyping. It features abstract building blocks that can be semantically reconfigured to support early-stage modelling of varied manufacturing systems in immersive environments. This paper describes ARTIFY and presents an initial think-aloud evaluation. Participants perceived ARTIFY to enhance their spatial comprehension of systems, with users reporting excellent spatial presence, reflected in a mean Igroup Presence Questionnaire (IPQ) score of 5.14. They further reported subjective preferences for spatially organising system components when compared to “normal post-it notes”. However, the evaluation also highlighted key areas for improvement around usability, such as text input via the virtual keyboard, which requires further iteration to better support rapid user engagement. We conclude by discussing the implications for future industrial applications.</t>
  </si>
  <si>
    <t>introduce ARTIFY—a prototype XR framework for conceptual system prototyping. It features abstract building blocks that can be semantically reconfigured to support early-stage modelling of varied manufacturing systems in immersive environments.</t>
  </si>
  <si>
    <t>ARTIFY XR module</t>
  </si>
  <si>
    <t>IPQ, SUS, Think-aloud</t>
  </si>
  <si>
    <t xml:space="preserve">While the think-aloud evaluation was effective for assessing and improving initial usability, it did not measure ARTIFY’s performance in solving a real-world manufacturing design problem. Furthermore, while participants had experience with prototyping and were from engineering and computer science backgrounds, the evaluation did not include stakeholders currently working on a live industrial project. Additionally, future work is needed to explore how comprehensible the system is to stakeholders with lower technological literacy and whether it can facilitate cross-disciplinary collaboration. </t>
  </si>
  <si>
    <t>Telling Us What You Experience: Effects of Questionnaire Interface Design on Subjective Measurements in Virtual Reality</t>
  </si>
  <si>
    <t>Lucas Küntzer; Martin Feick; Max Benzschawel; Naz Al Kassm; Tilo Mentler; Heike Spaderna; Robert J. Teather; Georg Rock</t>
  </si>
  <si>
    <t>Trier University of Applied Sciences, Germany</t>
  </si>
  <si>
    <t>IEEE TRANSACTIONS ON VISUALIZATION AND COMPUTER GRAPHICS</t>
  </si>
  <si>
    <t>Virtual reality (VR) enables immersive, tightly controlled experiments but complicates subjective measurement: moving participants out of the virtual environment (VE) to complete questionnaires changes the measurement context and can increase recall bias. Questionnaires embedded in the VE (INVRQs) enable immediate, time-efficient self-reports and repeated sampling, yet adoption is limited by concerns that INVRQs might bias primary experiential measures and by the implementation burden of usable interfaces. In this within-subject study, 43 participants completed post-task questionnaires using three representative 2D INVRQ interface designs: a body-anchored watch (direct touch), a world-anchored station (handheld pointer), and a world-anchored board at 5 m (laser pointer). Usability and task load differed significantly across interfaces, revealing clear design trade-offs. Interview feedback highlighted corresponding ergonomic themes. In contrast, ratings of presence and flow related to the constant task and VE showed no practically relevant differences across interfaces, supported by equivalence tests. Findings suggest that once basic usability requirements are met, interface choice is unlikely to meaningfully bias experiential measures in similar setups. This study contributes methodological guidance for implementing or selecting INVRQ tools to improve VR study quality, comparability, and reproducibility.</t>
  </si>
  <si>
    <t>contributes methodological guidance for implementing or selecting INVRQ tools to improve VR study quality, comparability, and reproducibility</t>
  </si>
  <si>
    <t>Usability Evaluation of Interaction Modalities for 3-D Object Manipulation in Immersive Virtual Reality Systems</t>
  </si>
  <si>
    <t>MOHAMMED LATAIFEH; ZULAIHA AFRAH SADAKATHULLAH SHADULY; NAVEED AHMED</t>
  </si>
  <si>
    <t>Department of Computer Science, University of Sharjah, Sharjah</t>
  </si>
  <si>
    <t>This study investigates how different interaction modalities influence user performance and experience in virtual reality environments. We compared three commonly used modalities, including controller-based input, hand tracking, and eye gaze, as well as a combined modality that integrated multiple inputs. We conducted an empirical user study with 30 participants (10 males, 20 females), in which each participant completed two tasks: arranging toruses on a vertical pole and stacking virtual blocks in predefined positions. We evaluated the efficiency, effectiveness, and user preference for each modality through quantitative and qualitative measures. Quantitative data included task completion time, error rates, and responses to closed-ended questions regarding the preferred modalities, whereas qualitative data included survey responses to the open-ended questions. Statistical analysis revealed that the controller modality resulted in faster task completion times with the least error rate, whereas the eye gaze took significantly longer completion times with the highest error rates. The majority of participants preferred using the controller for its efficiency and effectiveness, highlighting that interaction modality plays a crucial role in determining user performance and experience in basic object manipulation tasks in VR.</t>
  </si>
  <si>
    <t>P53</t>
  </si>
  <si>
    <t>P54</t>
  </si>
  <si>
    <t>P55</t>
  </si>
  <si>
    <t>P56</t>
  </si>
  <si>
    <t>P57</t>
  </si>
  <si>
    <t>MDPI Journal of Applied Science</t>
  </si>
  <si>
    <t xml:space="preserve"> investigates how different interaction modalities influence user performance and experience in virtual reality environments</t>
  </si>
  <si>
    <t>VR environment</t>
  </si>
  <si>
    <t>The sample was drawn largely from an academic setting and included many IT-affiliated participants, with relatively high ATI scores; The study employed only Likert-type radio button response formats; The findings are based on a tightly controlled experimental design employing a single, simple visuomotor task and a static VE.</t>
  </si>
  <si>
    <t>Varjo Aero headset</t>
  </si>
  <si>
    <t>ATI (BU), SUS, SIM-TLX, PQ, FSS, Interview</t>
  </si>
  <si>
    <t>VRQ tools</t>
  </si>
  <si>
    <t>First, the sample size was unbalanced (10 males, 20 females), which may restrict the generalizability of the findings; Second, the evaluation focused on basic object manipulation tasks performed in a controlled VR environment and did not include more complex 3D operations; In addition, the analysis relied on task completion time, error rates, user preference, and two-dimensional spatial heatmaps to characterize interaction behavior</t>
  </si>
  <si>
    <t>Future work can address the limitations of this study by including larger and more balanced participant samples to improve generalizability. In addition, future studies could include a consistent set of closed-ended questions across all modalities, such as ease of use, realism, and comfort, to allow for more direct comparisons of user perceptions</t>
  </si>
  <si>
    <t xml:space="preserve"> Pico 4 headset</t>
  </si>
  <si>
    <t>tracked controllers; non hand</t>
  </si>
  <si>
    <t>Survey</t>
  </si>
  <si>
    <t>Technical University of Munich</t>
  </si>
  <si>
    <t>Chosun University</t>
  </si>
  <si>
    <t>University of Glasgow</t>
  </si>
  <si>
    <t>Trier University of Applied Sciences</t>
  </si>
  <si>
    <t>University of Sharjah</t>
  </si>
  <si>
    <t>P17, P18, P21, P57</t>
  </si>
  <si>
    <t>P49, P55</t>
  </si>
  <si>
    <t>P04</t>
  </si>
  <si>
    <t>P02</t>
  </si>
  <si>
    <t>P09</t>
  </si>
  <si>
    <t>P08</t>
  </si>
  <si>
    <t>P01</t>
  </si>
  <si>
    <t>P07</t>
  </si>
  <si>
    <t>P06</t>
  </si>
  <si>
    <t>P03</t>
  </si>
  <si>
    <t>P05</t>
  </si>
  <si>
    <t>contributes methodological guidance for implementing or selecting in VR environments INVRQ tools to improve VR study quality, comparability, and reproducibility</t>
  </si>
  <si>
    <t>investigates how different interaction modalities influence user performance and experience in virtual reality environments</t>
  </si>
  <si>
    <t>Present methodological guidance for administering presence questionnaires directly in VR. The authors conducted an experiment with 36 participants experiencing two immersion levels and filled three standardized presence questionnaire in the real-world or VR. The results indicate that, besides reducing a study's duration and reducing disorientation, completing questionnaires in VR does not change the measured presence but can increase the consistency of variance in responses. It identifies the need for further research on the relationship between presence scores and the occurrence of a BIP (Break in Presence)</t>
  </si>
  <si>
    <t>Studies ID</t>
  </si>
  <si>
    <t>Nill</t>
  </si>
  <si>
    <t>Hand input</t>
  </si>
  <si>
    <t>X2</t>
  </si>
  <si>
    <t>touch</t>
  </si>
  <si>
    <t>Non-hand</t>
  </si>
  <si>
    <t>Eye</t>
  </si>
  <si>
    <t>Microphone</t>
  </si>
  <si>
    <t>no information</t>
  </si>
  <si>
    <t>hand and non hand</t>
  </si>
  <si>
    <t>head movement</t>
  </si>
  <si>
    <t>non track</t>
  </si>
  <si>
    <t>track</t>
  </si>
  <si>
    <t>P11,P3,P5,P6,P7,P16,P17,P18,P19,P20,P21,P23,P24,P25,P27,P28,29,P30,P34,P37,P38,P41,P46,P47,P50,P51,P53, P55</t>
  </si>
  <si>
    <t>P10,P2,P4,P8,P9,P13,P15,P26,P31,P32,P33,P39,P40,P43,P45,P48,P49,P52, P54, P56, P57</t>
  </si>
  <si>
    <t>P1,P10,P2,P3,P4,P5,P9,P12,P13,P17,P18,P19,P20,P21,P22,P25,P27,P28,P31,P35,P41,P42,P43,P45,P46,P48,P49,P52,P53, P55, P56, P57</t>
  </si>
  <si>
    <t>P1,P14,P22,P36,P44</t>
  </si>
  <si>
    <t>P12, P35, P42</t>
  </si>
  <si>
    <t>Evaluates UX and cognitive workload within virtual reality (VR) digital storytelling, specifically exploring the relationship between various UX aspects and cognitive load. it present a large-scale evaluation, involving 125 participants from two geographical locations. The study reveals strong correlations between various user experience scales, such as presence, immersion, and emotional response. The findings suggest that the lack of differences in user responses based on previous VR experience can facilitate broader participant recruitment for future studie.</t>
  </si>
  <si>
    <t>P18, P19, P26, P31, P44, P48, P15, P53, P55, P4, P24, P30, P36, P39, P56</t>
  </si>
  <si>
    <t>P1, P12, P23, P20, P13, P25, P16, P40, P42, P43, P50, P34, P57, P5</t>
  </si>
  <si>
    <t>P2, P6, P21, P17, P28, P27, P49, P45, P47, P54, P35, P37</t>
  </si>
  <si>
    <t>P7, P10, P3, P22, P14, P52, P38, P46, P8, P32, P33</t>
  </si>
  <si>
    <t>P9, P11, P29, P51, P41</t>
  </si>
  <si>
    <t>QA1</t>
  </si>
  <si>
    <t>QA2</t>
  </si>
  <si>
    <t>QA3</t>
  </si>
  <si>
    <t>QA4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</si>
</sst>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0"/>
      <name val="Arial"/>
      <family val="2"/>
    </font>
    <font>
      <sz val="8"/>
      <name val="Aptos Narrow"/>
      <family val="2"/>
      <scheme val="minor"/>
    </font>
    <font>
      <sz val="11"/>
      <name val="Aptos Narrow"/>
      <family val="2"/>
      <scheme val="minor"/>
    </font>
    <font>
      <sz val="11"/>
      <color rgb="FF2E2E2E"/>
      <name val="Aptos Narrow"/>
      <family val="2"/>
      <scheme val="minor"/>
    </font>
    <font>
      <b/>
      <sz val="9"/>
      <name val="Aptos Narrow"/>
      <family val="2"/>
      <scheme val="minor"/>
    </font>
    <font>
      <sz val="11"/>
      <color theme="1"/>
      <name val="Aptos Narrow"/>
      <family val="2"/>
      <scheme val="minor"/>
    </font>
    <font>
      <b/>
      <sz val="11"/>
      <name val="Aptos Narrow"/>
      <family val="2"/>
      <scheme val="minor"/>
    </font>
    <font>
      <sz val="11"/>
      <color rgb="FFFF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7"/>
        <bgColor indexed="64"/>
      </patternFill>
    </fill>
    <fill>
      <patternFill patternType="solid">
        <fgColor theme="3"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9" fontId="7" fillId="0" borderId="0" applyFont="0" applyFill="0" applyBorder="0" applyAlignment="0" applyProtection="0"/>
  </cellStyleXfs>
  <cellXfs count="43">
    <xf numFmtId="0" fontId="0" fillId="0" borderId="0" xfId="0"/>
    <xf numFmtId="0" fontId="1" fillId="0" borderId="1" xfId="0" applyFont="1" applyBorder="1"/>
    <xf numFmtId="0" fontId="1" fillId="0" borderId="1" xfId="0" applyFont="1" applyBorder="1" applyAlignment="1">
      <alignment horizontal="center"/>
    </xf>
    <xf numFmtId="0" fontId="0" fillId="0" borderId="1" xfId="0" applyBorder="1"/>
    <xf numFmtId="0" fontId="0" fillId="2" borderId="1" xfId="0" applyFill="1" applyBorder="1"/>
    <xf numFmtId="0" fontId="5" fillId="0" borderId="1" xfId="0" applyFont="1" applyBorder="1"/>
    <xf numFmtId="0" fontId="6" fillId="0" borderId="1" xfId="0" applyFont="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0" borderId="1" xfId="0" applyBorder="1" applyAlignment="1">
      <alignment horizontal="center"/>
    </xf>
    <xf numFmtId="0" fontId="0" fillId="6" borderId="0" xfId="0" applyFill="1"/>
    <xf numFmtId="0" fontId="0" fillId="6" borderId="1" xfId="0" applyFill="1" applyBorder="1"/>
    <xf numFmtId="0" fontId="0" fillId="5" borderId="1" xfId="0" applyFill="1" applyBorder="1" applyAlignment="1">
      <alignment horizont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0" fillId="0" borderId="1" xfId="0" applyBorder="1" applyAlignment="1">
      <alignment horizontal="center" vertical="center"/>
    </xf>
    <xf numFmtId="9" fontId="0" fillId="0" borderId="0" xfId="1" applyFont="1"/>
    <xf numFmtId="0" fontId="1" fillId="0" borderId="0" xfId="0" applyFont="1"/>
    <xf numFmtId="0" fontId="0" fillId="4" borderId="0" xfId="0" applyFill="1"/>
    <xf numFmtId="0" fontId="0" fillId="2" borderId="0" xfId="0" applyFill="1"/>
    <xf numFmtId="0" fontId="0" fillId="5" borderId="0" xfId="0" applyFill="1"/>
    <xf numFmtId="9" fontId="0" fillId="0" borderId="0" xfId="0" applyNumberFormat="1"/>
    <xf numFmtId="0" fontId="6" fillId="7" borderId="1" xfId="0" applyFont="1" applyFill="1" applyBorder="1" applyAlignment="1">
      <alignment horizontal="center" vertical="center"/>
    </xf>
    <xf numFmtId="0" fontId="4" fillId="0" borderId="1" xfId="0" applyFont="1" applyBorder="1"/>
    <xf numFmtId="0" fontId="6" fillId="3" borderId="1" xfId="0" applyFont="1" applyFill="1" applyBorder="1" applyAlignment="1">
      <alignment horizontal="center" vertical="center"/>
    </xf>
    <xf numFmtId="0" fontId="1" fillId="7" borderId="1" xfId="0" applyFont="1" applyFill="1" applyBorder="1"/>
    <xf numFmtId="0" fontId="1" fillId="8" borderId="1" xfId="0" applyFont="1" applyFill="1" applyBorder="1"/>
    <xf numFmtId="0" fontId="1" fillId="8" borderId="1" xfId="0" applyFont="1" applyFill="1" applyBorder="1" applyAlignment="1">
      <alignment horizontal="center"/>
    </xf>
    <xf numFmtId="0" fontId="1" fillId="8" borderId="2" xfId="0" applyFont="1" applyFill="1" applyBorder="1" applyAlignment="1">
      <alignment horizontal="center"/>
    </xf>
    <xf numFmtId="0" fontId="0" fillId="8" borderId="1" xfId="0" applyFill="1" applyBorder="1"/>
    <xf numFmtId="0" fontId="0" fillId="8" borderId="0" xfId="0" applyFill="1"/>
    <xf numFmtId="0" fontId="0" fillId="8" borderId="2" xfId="0" applyFill="1" applyBorder="1"/>
    <xf numFmtId="0" fontId="0" fillId="8" borderId="3" xfId="0" applyFill="1" applyBorder="1"/>
    <xf numFmtId="0" fontId="1" fillId="8" borderId="2" xfId="0" applyFont="1" applyFill="1" applyBorder="1"/>
    <xf numFmtId="0" fontId="2" fillId="0" borderId="1" xfId="0" applyFont="1" applyBorder="1" applyAlignment="1">
      <alignment horizontal="left" vertical="top"/>
    </xf>
    <xf numFmtId="0" fontId="0" fillId="0" borderId="1" xfId="0" applyBorder="1" applyAlignment="1">
      <alignment wrapText="1"/>
    </xf>
    <xf numFmtId="0" fontId="0" fillId="0" borderId="2" xfId="0" applyBorder="1"/>
    <xf numFmtId="0" fontId="0" fillId="3" borderId="1" xfId="0" applyFill="1" applyBorder="1"/>
    <xf numFmtId="0" fontId="0" fillId="3" borderId="0" xfId="0" applyFill="1"/>
    <xf numFmtId="0" fontId="0" fillId="9" borderId="0" xfId="0" applyFill="1"/>
    <xf numFmtId="0" fontId="1" fillId="5" borderId="0" xfId="0" applyFont="1" applyFill="1" applyAlignment="1">
      <alignment horizontal="center"/>
    </xf>
    <xf numFmtId="0" fontId="0" fillId="10" borderId="0" xfId="0" applyFill="1"/>
    <xf numFmtId="0" fontId="0" fillId="0" borderId="0" xfId="0"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E1-476F-BFD4-52B0F7E68F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E1-476F-BFD4-52B0F7E68F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3E1-476F-BFD4-52B0F7E68F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33E1-476F-BFD4-52B0F7E68F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33E1-476F-BFD4-52B0F7E68F41}"/>
              </c:ext>
            </c:extLst>
          </c:dPt>
          <c:dLbls>
            <c:dLbl>
              <c:idx val="0"/>
              <c:layout>
                <c:manualLayout>
                  <c:x val="-0.11219046458776681"/>
                  <c:y val="0.179175077712089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E1-476F-BFD4-52B0F7E68F41}"/>
                </c:ext>
              </c:extLst>
            </c:dLbl>
            <c:dLbl>
              <c:idx val="1"/>
              <c:layout>
                <c:manualLayout>
                  <c:x val="-0.12945145976899328"/>
                  <c:y val="-0.2073486274150811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E1-476F-BFD4-52B0F7E68F41}"/>
                </c:ext>
              </c:extLst>
            </c:dLbl>
            <c:dLbl>
              <c:idx val="2"/>
              <c:layout>
                <c:manualLayout>
                  <c:x val="0.13925362827171062"/>
                  <c:y val="-0.1336980823359181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3E1-476F-BFD4-52B0F7E68F41}"/>
                </c:ext>
              </c:extLst>
            </c:dLbl>
            <c:dLbl>
              <c:idx val="3"/>
              <c:layout>
                <c:manualLayout>
                  <c:x val="0.11835808437646209"/>
                  <c:y val="0.1659917929665267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E1-476F-BFD4-52B0F7E68F41}"/>
                </c:ext>
              </c:extLst>
            </c:dLbl>
            <c:dLbl>
              <c:idx val="4"/>
              <c:layout>
                <c:manualLayout>
                  <c:x val="2.9349957894952771E-2"/>
                  <c:y val="0.1096313058417130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3E1-476F-BFD4-52B0F7E68F4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Database!$A$2:$A$6</c:f>
              <c:strCache>
                <c:ptCount val="5"/>
                <c:pt idx="0">
                  <c:v>ACM DL</c:v>
                </c:pt>
                <c:pt idx="1">
                  <c:v>IEEE Xplore</c:v>
                </c:pt>
                <c:pt idx="2">
                  <c:v>Scopus</c:v>
                </c:pt>
                <c:pt idx="3">
                  <c:v>Science Direct</c:v>
                </c:pt>
                <c:pt idx="4">
                  <c:v>Web of Science</c:v>
                </c:pt>
              </c:strCache>
            </c:strRef>
          </c:cat>
          <c:val>
            <c:numRef>
              <c:f>Database!$F$2:$F$6</c:f>
              <c:numCache>
                <c:formatCode>General</c:formatCode>
                <c:ptCount val="5"/>
                <c:pt idx="0">
                  <c:v>11</c:v>
                </c:pt>
                <c:pt idx="1">
                  <c:v>19</c:v>
                </c:pt>
                <c:pt idx="2">
                  <c:v>16</c:v>
                </c:pt>
                <c:pt idx="3">
                  <c:v>8</c:v>
                </c:pt>
                <c:pt idx="4">
                  <c:v>3</c:v>
                </c:pt>
              </c:numCache>
            </c:numRef>
          </c:val>
          <c:extLst>
            <c:ext xmlns:c16="http://schemas.microsoft.com/office/drawing/2014/chart" uri="{C3380CC4-5D6E-409C-BE32-E72D297353CC}">
              <c16:uniqueId val="{00000000-33E1-476F-BFD4-52B0F7E68F41}"/>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lumMod val="75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Contries!$B$1</c:f>
              <c:strCache>
                <c:ptCount val="1"/>
                <c:pt idx="0">
                  <c:v>data</c:v>
                </c:pt>
              </c:strCache>
            </c:strRef>
          </c:tx>
          <c:spPr>
            <a:solidFill>
              <a:schemeClr val="accent1"/>
            </a:solidFill>
            <a:ln>
              <a:noFill/>
            </a:ln>
            <a:effectLst/>
          </c:spPr>
          <c:invertIfNegative val="0"/>
          <c:cat>
            <c:strRef>
              <c:f>Contries!$A$2:$A$26</c:f>
              <c:strCache>
                <c:ptCount val="25"/>
                <c:pt idx="0">
                  <c:v>China</c:v>
                </c:pt>
                <c:pt idx="1">
                  <c:v>South Korea</c:v>
                </c:pt>
                <c:pt idx="2">
                  <c:v>United Kindom</c:v>
                </c:pt>
                <c:pt idx="3">
                  <c:v>Italy</c:v>
                </c:pt>
                <c:pt idx="4">
                  <c:v>Brazil</c:v>
                </c:pt>
                <c:pt idx="5">
                  <c:v>Taiwan</c:v>
                </c:pt>
                <c:pt idx="6">
                  <c:v>Germany</c:v>
                </c:pt>
                <c:pt idx="7">
                  <c:v>Ireland</c:v>
                </c:pt>
                <c:pt idx="8">
                  <c:v>Saudi Arabia</c:v>
                </c:pt>
                <c:pt idx="9">
                  <c:v>Canada</c:v>
                </c:pt>
                <c:pt idx="10">
                  <c:v>Indonesia</c:v>
                </c:pt>
                <c:pt idx="11">
                  <c:v>Australia</c:v>
                </c:pt>
                <c:pt idx="12">
                  <c:v>Portugal</c:v>
                </c:pt>
                <c:pt idx="13">
                  <c:v>United Arab Emirate</c:v>
                </c:pt>
                <c:pt idx="14">
                  <c:v>Norway</c:v>
                </c:pt>
                <c:pt idx="15">
                  <c:v>New Zealand</c:v>
                </c:pt>
                <c:pt idx="16">
                  <c:v>Romania</c:v>
                </c:pt>
                <c:pt idx="17">
                  <c:v>Ecuador</c:v>
                </c:pt>
                <c:pt idx="18">
                  <c:v>USA</c:v>
                </c:pt>
                <c:pt idx="19">
                  <c:v>Libya</c:v>
                </c:pt>
                <c:pt idx="20">
                  <c:v>Switzerland</c:v>
                </c:pt>
                <c:pt idx="21">
                  <c:v>Greece</c:v>
                </c:pt>
                <c:pt idx="22">
                  <c:v>Mexico</c:v>
                </c:pt>
                <c:pt idx="23">
                  <c:v>Cyprus</c:v>
                </c:pt>
                <c:pt idx="24">
                  <c:v>Thailand</c:v>
                </c:pt>
              </c:strCache>
            </c:strRef>
          </c:cat>
          <c:val>
            <c:numRef>
              <c:f>Contries!$B$2:$B$26</c:f>
              <c:numCache>
                <c:formatCode>General</c:formatCode>
                <c:ptCount val="25"/>
                <c:pt idx="0">
                  <c:v>8</c:v>
                </c:pt>
                <c:pt idx="1">
                  <c:v>6</c:v>
                </c:pt>
                <c:pt idx="2">
                  <c:v>5</c:v>
                </c:pt>
                <c:pt idx="3">
                  <c:v>4</c:v>
                </c:pt>
                <c:pt idx="4">
                  <c:v>3</c:v>
                </c:pt>
                <c:pt idx="5">
                  <c:v>3</c:v>
                </c:pt>
                <c:pt idx="6">
                  <c:v>3</c:v>
                </c:pt>
                <c:pt idx="7">
                  <c:v>2</c:v>
                </c:pt>
                <c:pt idx="8">
                  <c:v>2</c:v>
                </c:pt>
                <c:pt idx="9">
                  <c:v>2</c:v>
                </c:pt>
                <c:pt idx="10">
                  <c:v>2</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numCache>
            </c:numRef>
          </c:val>
          <c:extLst>
            <c:ext xmlns:c16="http://schemas.microsoft.com/office/drawing/2014/chart" uri="{C3380CC4-5D6E-409C-BE32-E72D297353CC}">
              <c16:uniqueId val="{00000000-81D4-48AD-A9FB-063BBDC5FAB9}"/>
            </c:ext>
          </c:extLst>
        </c:ser>
        <c:dLbls>
          <c:showLegendKey val="0"/>
          <c:showVal val="0"/>
          <c:showCatName val="0"/>
          <c:showSerName val="0"/>
          <c:showPercent val="0"/>
          <c:showBubbleSize val="0"/>
        </c:dLbls>
        <c:gapWidth val="182"/>
        <c:axId val="1927159471"/>
        <c:axId val="1927161391"/>
      </c:barChart>
      <c:catAx>
        <c:axId val="192715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161391"/>
        <c:crosses val="autoZero"/>
        <c:auto val="1"/>
        <c:lblAlgn val="ctr"/>
        <c:lblOffset val="100"/>
        <c:noMultiLvlLbl val="0"/>
      </c:catAx>
      <c:valAx>
        <c:axId val="192716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15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flip="none" rotWithShape="1">
              <a:gsLst>
                <a:gs pos="0">
                  <a:schemeClr val="accent1">
                    <a:lumMod val="50000"/>
                  </a:schemeClr>
                </a:gs>
                <a:gs pos="83000">
                  <a:schemeClr val="accent1">
                    <a:lumMod val="45000"/>
                    <a:lumOff val="55000"/>
                  </a:schemeClr>
                </a:gs>
                <a:gs pos="100000">
                  <a:schemeClr val="accent1">
                    <a:lumMod val="30000"/>
                    <a:lumOff val="70000"/>
                  </a:schemeClr>
                </a:gs>
              </a:gsLst>
              <a:lin ang="5400000" scaled="0"/>
              <a:tileRect/>
            </a:gradFill>
            <a:ln>
              <a:noFill/>
            </a:ln>
            <a:effectLst>
              <a:outerShdw blurRad="57150" dist="19050" dir="5400000" algn="ctr" rotWithShape="0">
                <a:srgbClr val="000000">
                  <a:alpha val="63000"/>
                </a:srgbClr>
              </a:outerShdw>
            </a:effectLst>
          </c:spPr>
          <c:invertIfNegative val="0"/>
          <c:val>
            <c:numRef>
              <c:f>Year!$B$2:$B$9</c:f>
              <c:numCache>
                <c:formatCode>General</c:formatCode>
                <c:ptCount val="8"/>
                <c:pt idx="0">
                  <c:v>9</c:v>
                </c:pt>
                <c:pt idx="1">
                  <c:v>6</c:v>
                </c:pt>
                <c:pt idx="2">
                  <c:v>10</c:v>
                </c:pt>
                <c:pt idx="3">
                  <c:v>4</c:v>
                </c:pt>
                <c:pt idx="4">
                  <c:v>9</c:v>
                </c:pt>
                <c:pt idx="5">
                  <c:v>4</c:v>
                </c:pt>
                <c:pt idx="6">
                  <c:v>9</c:v>
                </c:pt>
                <c:pt idx="7">
                  <c:v>6</c:v>
                </c:pt>
              </c:numCache>
            </c:numRef>
          </c:val>
          <c:extLst>
            <c:ext xmlns:c15="http://schemas.microsoft.com/office/drawing/2012/chart" uri="{02D57815-91ED-43cb-92C2-25804820EDAC}">
              <c15:filteredCategoryTitle>
                <c15:cat>
                  <c:numRef>
                    <c:extLst>
                      <c:ext uri="{02D57815-91ED-43cb-92C2-25804820EDAC}">
                        <c15:formulaRef>
                          <c15:sqref>Year!$A$2:$A$9</c15:sqref>
                        </c15:formulaRef>
                      </c:ext>
                    </c:extLst>
                    <c:numCache>
                      <c:formatCode>General</c:formatCode>
                      <c:ptCount val="8"/>
                      <c:pt idx="0">
                        <c:v>2019</c:v>
                      </c:pt>
                      <c:pt idx="1">
                        <c:v>2020</c:v>
                      </c:pt>
                      <c:pt idx="2">
                        <c:v>2021</c:v>
                      </c:pt>
                      <c:pt idx="3">
                        <c:v>2022</c:v>
                      </c:pt>
                      <c:pt idx="4">
                        <c:v>2023</c:v>
                      </c:pt>
                      <c:pt idx="5">
                        <c:v>2024</c:v>
                      </c:pt>
                      <c:pt idx="6">
                        <c:v>2025</c:v>
                      </c:pt>
                      <c:pt idx="7">
                        <c:v>2026</c:v>
                      </c:pt>
                    </c:numCache>
                  </c:numRef>
                </c15:cat>
              </c15:filteredCategoryTitle>
            </c:ext>
            <c:ext xmlns:c16="http://schemas.microsoft.com/office/drawing/2014/chart" uri="{C3380CC4-5D6E-409C-BE32-E72D297353CC}">
              <c16:uniqueId val="{00000000-0E2D-4841-B9F6-E6A7947F702F}"/>
            </c:ext>
          </c:extLst>
        </c:ser>
        <c:dLbls>
          <c:showLegendKey val="0"/>
          <c:showVal val="0"/>
          <c:showCatName val="0"/>
          <c:showSerName val="0"/>
          <c:showPercent val="0"/>
          <c:showBubbleSize val="0"/>
        </c:dLbls>
        <c:gapWidth val="60"/>
        <c:axId val="1313807584"/>
        <c:axId val="1313806144"/>
      </c:barChart>
      <c:catAx>
        <c:axId val="131380758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b="1">
                    <a:latin typeface="Calibri" panose="020F0502020204030204" pitchFamily="34" charset="0"/>
                    <a:ea typeface="Calibri" panose="020F0502020204030204" pitchFamily="34" charset="0"/>
                    <a:cs typeface="Calibri" panose="020F0502020204030204" pitchFamily="34" charset="0"/>
                  </a:rPr>
                  <a:t>Year</a:t>
                </a:r>
              </a:p>
            </c:rich>
          </c:tx>
          <c:layout>
            <c:manualLayout>
              <c:xMode val="edge"/>
              <c:yMode val="edge"/>
              <c:x val="2.2121013264334351E-2"/>
              <c:y val="0.3645941302894603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806144"/>
        <c:crosses val="autoZero"/>
        <c:auto val="1"/>
        <c:lblAlgn val="ctr"/>
        <c:lblOffset val="100"/>
        <c:noMultiLvlLbl val="0"/>
      </c:catAx>
      <c:valAx>
        <c:axId val="131380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100" b="1">
                    <a:latin typeface="Calibri" panose="020F0502020204030204" pitchFamily="34" charset="0"/>
                    <a:ea typeface="Calibri" panose="020F0502020204030204" pitchFamily="34" charset="0"/>
                    <a:cs typeface="Calibri" panose="020F0502020204030204" pitchFamily="34" charset="0"/>
                  </a:rPr>
                  <a:t>Number of Publications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807584"/>
        <c:crosses val="autoZero"/>
        <c:crossBetween val="between"/>
      </c:valAx>
      <c:spPr>
        <a:pattFill prst="pct5">
          <a:fgClr>
            <a:schemeClr val="accent1">
              <a:lumMod val="40000"/>
              <a:lumOff val="60000"/>
            </a:schemeClr>
          </a:fgClr>
          <a:bgClr>
            <a:schemeClr val="bg1"/>
          </a:bgClr>
        </a:pattFill>
        <a:ln>
          <a:noFill/>
        </a:ln>
        <a:effectLst/>
      </c:spPr>
    </c:plotArea>
    <c:plotVisOnly val="1"/>
    <c:dispBlanksAs val="gap"/>
    <c:showDLblsOverMax val="0"/>
  </c:chart>
  <c:spPr>
    <a:pattFill prst="pct5">
      <a:fgClr>
        <a:schemeClr val="accent1">
          <a:lumMod val="20000"/>
          <a:lumOff val="80000"/>
        </a:schemeClr>
      </a:fgClr>
      <a:bgClr>
        <a:schemeClr val="bg1"/>
      </a:bgClr>
    </a:patt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Contributions!$F$11</c:f>
              <c:strCache>
                <c:ptCount val="1"/>
                <c:pt idx="0">
                  <c:v>No.</c:v>
                </c:pt>
              </c:strCache>
            </c:strRef>
          </c:tx>
          <c:spPr>
            <a:solidFill>
              <a:schemeClr val="accent1"/>
            </a:solidFill>
            <a:ln>
              <a:noFill/>
            </a:ln>
            <a:effectLst/>
            <a:sp3d/>
          </c:spPr>
          <c:invertIfNegative val="0"/>
          <c:cat>
            <c:strRef>
              <c:f>Contributions!$E$12:$E$16</c:f>
              <c:strCache>
                <c:ptCount val="5"/>
                <c:pt idx="0">
                  <c:v>Frameworks</c:v>
                </c:pt>
                <c:pt idx="1">
                  <c:v>Investigations</c:v>
                </c:pt>
                <c:pt idx="2">
                  <c:v>Evaluations</c:v>
                </c:pt>
                <c:pt idx="3">
                  <c:v>Methods</c:v>
                </c:pt>
                <c:pt idx="4">
                  <c:v>Models</c:v>
                </c:pt>
              </c:strCache>
            </c:strRef>
          </c:cat>
          <c:val>
            <c:numRef>
              <c:f>Contributions!$F$12:$F$16</c:f>
              <c:numCache>
                <c:formatCode>General</c:formatCode>
                <c:ptCount val="5"/>
                <c:pt idx="0">
                  <c:v>15</c:v>
                </c:pt>
                <c:pt idx="1">
                  <c:v>14</c:v>
                </c:pt>
                <c:pt idx="2">
                  <c:v>12</c:v>
                </c:pt>
                <c:pt idx="3">
                  <c:v>11</c:v>
                </c:pt>
                <c:pt idx="4">
                  <c:v>5</c:v>
                </c:pt>
              </c:numCache>
            </c:numRef>
          </c:val>
          <c:extLst>
            <c:ext xmlns:c16="http://schemas.microsoft.com/office/drawing/2014/chart" uri="{C3380CC4-5D6E-409C-BE32-E72D297353CC}">
              <c16:uniqueId val="{00000000-3A97-4691-8032-03C4ECB06CFE}"/>
            </c:ext>
          </c:extLst>
        </c:ser>
        <c:dLbls>
          <c:showLegendKey val="0"/>
          <c:showVal val="0"/>
          <c:showCatName val="0"/>
          <c:showSerName val="0"/>
          <c:showPercent val="0"/>
          <c:showBubbleSize val="0"/>
        </c:dLbls>
        <c:gapWidth val="150"/>
        <c:shape val="box"/>
        <c:axId val="1512869791"/>
        <c:axId val="1512870271"/>
        <c:axId val="0"/>
      </c:bar3DChart>
      <c:catAx>
        <c:axId val="151286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70271"/>
        <c:crosses val="autoZero"/>
        <c:auto val="1"/>
        <c:lblAlgn val="ctr"/>
        <c:lblOffset val="100"/>
        <c:noMultiLvlLbl val="0"/>
      </c:catAx>
      <c:valAx>
        <c:axId val="151287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6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9E-4035-8D3F-6F23ACFB5706}"/>
              </c:ext>
            </c:extLst>
          </c:dPt>
          <c:dPt>
            <c:idx val="1"/>
            <c:bubble3D val="0"/>
            <c:spPr>
              <a:solidFill>
                <a:schemeClr val="accent2"/>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39E-4035-8D3F-6F23ACFB5706}"/>
              </c:ext>
            </c:extLst>
          </c:dPt>
          <c:dPt>
            <c:idx val="2"/>
            <c:bubble3D val="0"/>
            <c:spPr>
              <a:solidFill>
                <a:schemeClr val="accent3"/>
              </a:solidFill>
              <a:ln>
                <a:solidFill>
                  <a:schemeClr val="tx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9E-4035-8D3F-6F23ACFB57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39E-4035-8D3F-6F23ACFB5706}"/>
              </c:ext>
            </c:extLst>
          </c:dPt>
          <c:dLbls>
            <c:dLbl>
              <c:idx val="0"/>
              <c:layout>
                <c:manualLayout>
                  <c:x val="2.6724425926743022E-2"/>
                  <c:y val="5.5284192336966832E-2"/>
                </c:manualLayout>
              </c:layout>
              <c:tx>
                <c:rich>
                  <a:bodyPr/>
                  <a:lstStyle/>
                  <a:p>
                    <a:fld id="{A5401784-BC6D-4F10-AE00-5997FAF125E7}" type="CATEGORYNAME">
                      <a:rPr lang="en-US"/>
                      <a:pPr/>
                      <a:t>[CATEGORY NAME]</a:t>
                    </a:fld>
                    <a:r>
                      <a:rPr lang="en-US" baseline="0"/>
                      <a:t> </a:t>
                    </a:r>
                    <a:fld id="{7D079709-853B-4A0F-B623-1D311C5E35D5}" type="VALUE">
                      <a:rPr lang="en-US" baseline="0"/>
                      <a:pPr/>
                      <a:t>[VALUE]</a:t>
                    </a:fld>
                    <a:r>
                      <a:rPr lang="en-US" baseline="0"/>
                      <a:t>; </a:t>
                    </a:r>
                    <a:fld id="{EA83F730-E342-4533-9548-A85F26FF04C6}"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39E-4035-8D3F-6F23ACFB5706}"/>
                </c:ext>
              </c:extLst>
            </c:dLbl>
            <c:dLbl>
              <c:idx val="1"/>
              <c:layout>
                <c:manualLayout>
                  <c:x val="1.4218148888202522E-2"/>
                  <c:y val="0.15491131870333841"/>
                </c:manualLayout>
              </c:layout>
              <c:tx>
                <c:rich>
                  <a:bodyPr/>
                  <a:lstStyle/>
                  <a:p>
                    <a:fld id="{E267307B-0C2B-4D27-A8A0-A48C34540E0C}" type="CATEGORYNAME">
                      <a:rPr lang="en-US"/>
                      <a:pPr/>
                      <a:t>[CATEGORY NAME]</a:t>
                    </a:fld>
                    <a:r>
                      <a:rPr lang="en-US" baseline="0"/>
                      <a:t> </a:t>
                    </a:r>
                    <a:fld id="{FE5E6483-3D33-40DC-BFE7-33EDD028F978}" type="VALUE">
                      <a:rPr lang="en-US" baseline="0"/>
                      <a:pPr/>
                      <a:t>[VALUE]</a:t>
                    </a:fld>
                    <a:r>
                      <a:rPr lang="en-US" baseline="0"/>
                      <a:t>; </a:t>
                    </a:r>
                    <a:fld id="{BEC18B39-73E9-40DB-8BFF-AB982F5417F1}"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39E-4035-8D3F-6F23ACFB5706}"/>
                </c:ext>
              </c:extLst>
            </c:dLbl>
            <c:dLbl>
              <c:idx val="2"/>
              <c:layout>
                <c:manualLayout>
                  <c:x val="-6.2208078312227778E-2"/>
                  <c:y val="8.2330864016932459E-2"/>
                </c:manualLayout>
              </c:layout>
              <c:tx>
                <c:rich>
                  <a:bodyPr/>
                  <a:lstStyle/>
                  <a:p>
                    <a:fld id="{DA9C201D-FFA5-4DB6-B4DC-CA16D22BD8EB}" type="CATEGORYNAME">
                      <a:rPr lang="en-US"/>
                      <a:pPr/>
                      <a:t>[CATEGORY NAME]</a:t>
                    </a:fld>
                    <a:r>
                      <a:rPr lang="en-US" baseline="0"/>
                      <a:t> </a:t>
                    </a:r>
                    <a:fld id="{3F0D47CE-2543-4042-A20F-DA5CC9F10D74}" type="VALUE">
                      <a:rPr lang="en-US" baseline="0"/>
                      <a:pPr/>
                      <a:t>[VALUE]</a:t>
                    </a:fld>
                    <a:r>
                      <a:rPr lang="en-US" baseline="0"/>
                      <a:t>; </a:t>
                    </a:r>
                    <a:fld id="{E3AD57AE-BE9F-4823-AD77-38DC40780402}"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9E-4035-8D3F-6F23ACFB5706}"/>
                </c:ext>
              </c:extLst>
            </c:dLbl>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Technologies!$P$16:$P$19</c:f>
              <c:strCache>
                <c:ptCount val="4"/>
                <c:pt idx="0">
                  <c:v>HMDs</c:v>
                </c:pt>
                <c:pt idx="1">
                  <c:v>DesktopVR</c:v>
                </c:pt>
                <c:pt idx="2">
                  <c:v>LSDs</c:v>
                </c:pt>
                <c:pt idx="3">
                  <c:v>Mobile</c:v>
                </c:pt>
              </c:strCache>
            </c:strRef>
          </c:cat>
          <c:val>
            <c:numRef>
              <c:f>Technologies!$Q$16:$Q$19</c:f>
              <c:numCache>
                <c:formatCode>General</c:formatCode>
                <c:ptCount val="4"/>
                <c:pt idx="0">
                  <c:v>42</c:v>
                </c:pt>
                <c:pt idx="1">
                  <c:v>13</c:v>
                </c:pt>
                <c:pt idx="2">
                  <c:v>4</c:v>
                </c:pt>
                <c:pt idx="3">
                  <c:v>11</c:v>
                </c:pt>
              </c:numCache>
            </c:numRef>
          </c:val>
          <c:extLst>
            <c:ext xmlns:c16="http://schemas.microsoft.com/office/drawing/2014/chart" uri="{C3380CC4-5D6E-409C-BE32-E72D297353CC}">
              <c16:uniqueId val="{00000000-539E-4035-8D3F-6F23ACFB5706}"/>
            </c:ext>
          </c:extLst>
        </c:ser>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2">
          <a:lumMod val="25000"/>
          <a:lumOff val="75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B050"/>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8B8F-4868-A21D-EE813B87AEC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8B8F-4868-A21D-EE813B87AEC5}"/>
              </c:ext>
            </c:extLst>
          </c:dPt>
          <c:dPt>
            <c:idx val="2"/>
            <c:invertIfNegative val="0"/>
            <c:bubble3D val="0"/>
            <c:spPr>
              <a:solidFill>
                <a:srgbClr val="7030A0"/>
              </a:solidFill>
              <a:ln>
                <a:noFill/>
              </a:ln>
              <a:effectLst/>
            </c:spPr>
            <c:extLst>
              <c:ext xmlns:c16="http://schemas.microsoft.com/office/drawing/2014/chart" uri="{C3380CC4-5D6E-409C-BE32-E72D297353CC}">
                <c16:uniqueId val="{00000002-8B8F-4868-A21D-EE813B87AEC5}"/>
              </c:ext>
            </c:extLst>
          </c:dPt>
          <c:dPt>
            <c:idx val="3"/>
            <c:invertIfNegative val="0"/>
            <c:bubble3D val="0"/>
            <c:spPr>
              <a:solidFill>
                <a:srgbClr val="C00000"/>
              </a:solidFill>
              <a:ln>
                <a:noFill/>
              </a:ln>
              <a:effectLst/>
            </c:spPr>
            <c:extLst>
              <c:ext xmlns:c16="http://schemas.microsoft.com/office/drawing/2014/chart" uri="{C3380CC4-5D6E-409C-BE32-E72D297353CC}">
                <c16:uniqueId val="{00000003-8B8F-4868-A21D-EE813B87AEC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8B8F-4868-A21D-EE813B87AEC5}"/>
              </c:ext>
            </c:extLst>
          </c:dPt>
          <c:dPt>
            <c:idx val="5"/>
            <c:invertIfNegative val="0"/>
            <c:bubble3D val="0"/>
            <c:spPr>
              <a:solidFill>
                <a:srgbClr val="FFC000"/>
              </a:solidFill>
              <a:ln>
                <a:noFill/>
              </a:ln>
              <a:effectLst/>
            </c:spPr>
            <c:extLst>
              <c:ext xmlns:c16="http://schemas.microsoft.com/office/drawing/2014/chart" uri="{C3380CC4-5D6E-409C-BE32-E72D297353CC}">
                <c16:uniqueId val="{00000005-8B8F-4868-A21D-EE813B87AEC5}"/>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8B8F-4868-A21D-EE813B87AEC5}"/>
              </c:ext>
            </c:extLst>
          </c:dPt>
          <c:dPt>
            <c:idx val="8"/>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8-8B8F-4868-A21D-EE813B87AEC5}"/>
              </c:ext>
            </c:extLst>
          </c:dPt>
          <c:dLbls>
            <c:dLbl>
              <c:idx val="0"/>
              <c:layout>
                <c:manualLayout>
                  <c:x val="-7.4017181361585531E-6"/>
                  <c:y val="-0.30156202195296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573502427240842E-2"/>
                      <c:h val="6.7753390848884265E-2"/>
                    </c:manualLayout>
                  </c15:layout>
                </c:ext>
                <c:ext xmlns:c16="http://schemas.microsoft.com/office/drawing/2014/chart" uri="{C3380CC4-5D6E-409C-BE32-E72D297353CC}">
                  <c16:uniqueId val="{00000000-8B8F-4868-A21D-EE813B87AEC5}"/>
                </c:ext>
              </c:extLst>
            </c:dLbl>
            <c:dLbl>
              <c:idx val="1"/>
              <c:layout>
                <c:manualLayout>
                  <c:x val="4.4581807863738293E-5"/>
                  <c:y val="-0.2553859431438741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938322423516337E-2"/>
                      <c:h val="6.2781262205324123E-2"/>
                    </c:manualLayout>
                  </c15:layout>
                </c:ext>
                <c:ext xmlns:c16="http://schemas.microsoft.com/office/drawing/2014/chart" uri="{C3380CC4-5D6E-409C-BE32-E72D297353CC}">
                  <c16:uniqueId val="{00000001-8B8F-4868-A21D-EE813B87AEC5}"/>
                </c:ext>
              </c:extLst>
            </c:dLbl>
            <c:dLbl>
              <c:idx val="2"/>
              <c:layout>
                <c:manualLayout>
                  <c:x val="-5.7444893259543873E-17"/>
                  <c:y val="-0.253068511867091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8F-4868-A21D-EE813B87AEC5}"/>
                </c:ext>
              </c:extLst>
            </c:dLbl>
            <c:dLbl>
              <c:idx val="3"/>
              <c:layout>
                <c:manualLayout>
                  <c:x val="-5.7348127183244936E-17"/>
                  <c:y val="-0.192000717624306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8F-4868-A21D-EE813B87AEC5}"/>
                </c:ext>
              </c:extLst>
            </c:dLbl>
            <c:dLbl>
              <c:idx val="4"/>
              <c:layout>
                <c:manualLayout>
                  <c:x val="0"/>
                  <c:y val="-8.149015018529354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8F-4868-A21D-EE813B87AEC5}"/>
                </c:ext>
              </c:extLst>
            </c:dLbl>
            <c:dLbl>
              <c:idx val="5"/>
              <c:layout>
                <c:manualLayout>
                  <c:x val="0"/>
                  <c:y val="-7.95248079045648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8F-4868-A21D-EE813B87AEC5}"/>
                </c:ext>
              </c:extLst>
            </c:dLbl>
            <c:dLbl>
              <c:idx val="6"/>
              <c:layout>
                <c:manualLayout>
                  <c:x val="0"/>
                  <c:y val="-8.563162024866410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8F-4868-A21D-EE813B87AEC5}"/>
                </c:ext>
              </c:extLst>
            </c:dLbl>
            <c:dLbl>
              <c:idx val="7"/>
              <c:layout>
                <c:manualLayout>
                  <c:x val="0"/>
                  <c:y val="-8.17312564620716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8F-4868-A21D-EE813B87AEC5}"/>
                </c:ext>
              </c:extLst>
            </c:dLbl>
            <c:dLbl>
              <c:idx val="8"/>
              <c:layout>
                <c:manualLayout>
                  <c:x val="0"/>
                  <c:y val="-6.01741012962175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8F-4868-A21D-EE813B87AE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Applications!$A$2:$A$10</c:f>
              <c:strCache>
                <c:ptCount val="9"/>
                <c:pt idx="0">
                  <c:v>Education &amp; Training</c:v>
                </c:pt>
                <c:pt idx="1">
                  <c:v>Cultural Heritage &amp; Exhibition</c:v>
                </c:pt>
                <c:pt idx="2">
                  <c:v>Entertainment</c:v>
                </c:pt>
                <c:pt idx="3">
                  <c:v>Multimedia</c:v>
                </c:pt>
                <c:pt idx="4">
                  <c:v>Retail &amp; Marketing</c:v>
                </c:pt>
                <c:pt idx="5">
                  <c:v>Art &amp; Design</c:v>
                </c:pt>
                <c:pt idx="6">
                  <c:v>Manufacturing</c:v>
                </c:pt>
                <c:pt idx="7">
                  <c:v>Healthcare</c:v>
                </c:pt>
                <c:pt idx="8">
                  <c:v>Remote Collaboration</c:v>
                </c:pt>
              </c:strCache>
            </c:strRef>
          </c:cat>
          <c:val>
            <c:numRef>
              <c:f>Applications!$B$2:$B$10</c:f>
              <c:numCache>
                <c:formatCode>General</c:formatCode>
                <c:ptCount val="9"/>
                <c:pt idx="0">
                  <c:v>13</c:v>
                </c:pt>
                <c:pt idx="1">
                  <c:v>11</c:v>
                </c:pt>
                <c:pt idx="2">
                  <c:v>11</c:v>
                </c:pt>
                <c:pt idx="3">
                  <c:v>8</c:v>
                </c:pt>
                <c:pt idx="4">
                  <c:v>3</c:v>
                </c:pt>
                <c:pt idx="5">
                  <c:v>3</c:v>
                </c:pt>
                <c:pt idx="6">
                  <c:v>3</c:v>
                </c:pt>
                <c:pt idx="7">
                  <c:v>3</c:v>
                </c:pt>
                <c:pt idx="8">
                  <c:v>2</c:v>
                </c:pt>
              </c:numCache>
            </c:numRef>
          </c:val>
          <c:extLst>
            <c:ext xmlns:c16="http://schemas.microsoft.com/office/drawing/2014/chart" uri="{C3380CC4-5D6E-409C-BE32-E72D297353CC}">
              <c16:uniqueId val="{00000000-60C5-41FE-94D4-B14EEE5E8725}"/>
            </c:ext>
          </c:extLst>
        </c:ser>
        <c:dLbls>
          <c:dLblPos val="ctr"/>
          <c:showLegendKey val="0"/>
          <c:showVal val="1"/>
          <c:showCatName val="0"/>
          <c:showSerName val="0"/>
          <c:showPercent val="0"/>
          <c:showBubbleSize val="0"/>
        </c:dLbls>
        <c:gapWidth val="45"/>
        <c:overlap val="10"/>
        <c:axId val="341719280"/>
        <c:axId val="341722160"/>
      </c:barChart>
      <c:catAx>
        <c:axId val="34171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Body)"/>
                <a:ea typeface="Calibri" panose="020F0502020204030204" pitchFamily="34" charset="0"/>
                <a:cs typeface="Calibri" panose="020F0502020204030204" pitchFamily="34" charset="0"/>
              </a:defRPr>
            </a:pPr>
            <a:endParaRPr lang="en-US"/>
          </a:p>
        </c:txPr>
        <c:crossAx val="341722160"/>
        <c:crosses val="autoZero"/>
        <c:auto val="1"/>
        <c:lblAlgn val="ctr"/>
        <c:lblOffset val="100"/>
        <c:noMultiLvlLbl val="0"/>
      </c:catAx>
      <c:valAx>
        <c:axId val="34172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700" b="1">
                    <a:latin typeface="Calibri (Body)"/>
                  </a:rPr>
                  <a:t>Number of Included</a:t>
                </a:r>
                <a:r>
                  <a:rPr lang="en-US" sz="700" b="1" baseline="0">
                    <a:latin typeface="Calibri (Body)"/>
                  </a:rPr>
                  <a:t> S</a:t>
                </a:r>
                <a:r>
                  <a:rPr lang="en-US" sz="700" b="1">
                    <a:latin typeface="Calibri (Body)"/>
                  </a:rPr>
                  <a:t>tudies</a:t>
                </a:r>
              </a:p>
            </c:rich>
          </c:tx>
          <c:layout>
            <c:manualLayout>
              <c:xMode val="edge"/>
              <c:yMode val="edge"/>
              <c:x val="5.4834383843300957E-2"/>
              <c:y val="0.1522684139105276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4171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2">
          <a:lumMod val="10000"/>
          <a:lumOff val="9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Publishers</cx:v>
        </cx:txData>
      </cx:tx>
      <cx:txPr>
        <a:bodyPr spcFirstLastPara="1" vertOverflow="ellipsis" horzOverflow="overflow" wrap="square" lIns="0" tIns="0" rIns="0" bIns="0" anchor="ctr" anchorCtr="1"/>
        <a:lstStyle/>
        <a:p>
          <a:pPr algn="ctr" rtl="0">
            <a:defRPr/>
          </a:pPr>
          <a:r>
            <a:rPr lang="en-US" sz="1400" b="0" i="0" u="none" strike="noStrike" kern="1200" spc="0" baseline="0">
              <a:solidFill>
                <a:sysClr val="windowText" lastClr="000000">
                  <a:lumMod val="65000"/>
                  <a:lumOff val="35000"/>
                </a:sysClr>
              </a:solidFill>
              <a:latin typeface="Aptos Narrow" panose="02110004020202020204"/>
            </a:rPr>
            <a:t>Publishers</a:t>
          </a:r>
        </a:p>
      </cx:txPr>
    </cx:title>
    <cx:plotArea>
      <cx:plotAreaRegion>
        <cx:series layoutId="clusteredColumn" uniqueId="{EDFD437A-BCFF-4B0B-81EE-2F5162616F13}">
          <cx:tx>
            <cx:txData>
              <cx:f>_xlchart.v1.1</cx:f>
              <cx:v>Studies</cx:v>
            </cx:txData>
          </cx:tx>
          <cx:dataId val="0"/>
          <cx:layoutPr>
            <cx:aggregation/>
          </cx:layoutPr>
          <cx:axisId val="1"/>
        </cx:series>
        <cx:series layoutId="paretoLine" ownerIdx="0" uniqueId="{400D370C-A6B2-4073-8225-EC03D6E6987C}">
          <cx:spPr>
            <a:ln>
              <a:noFill/>
            </a:ln>
          </cx:spPr>
          <cx:axisId val="2"/>
        </cx:series>
      </cx:plotAreaRegion>
      <cx:axis id="0">
        <cx:catScaling gapWidth="2.19000006"/>
        <cx:tickLabels/>
      </cx:axis>
      <cx:axis id="1">
        <cx:valScaling/>
        <cx:majorGridlines/>
        <cx:tickLabels/>
      </cx:axis>
      <cx:axis id="2">
        <cx:valScaling max="1" min="0"/>
        <cx:tickLabels/>
        <cx:numFmt formatCode="0%" sourceLinked="0"/>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127000</xdr:rowOff>
    </xdr:from>
    <xdr:to>
      <xdr:col>17</xdr:col>
      <xdr:colOff>552450</xdr:colOff>
      <xdr:row>28</xdr:row>
      <xdr:rowOff>19051</xdr:rowOff>
    </xdr:to>
    <xdr:sp macro="" textlink="">
      <xdr:nvSpPr>
        <xdr:cNvPr id="2" name="TextBox 1">
          <a:extLst>
            <a:ext uri="{FF2B5EF4-FFF2-40B4-BE49-F238E27FC236}">
              <a16:creationId xmlns:a16="http://schemas.microsoft.com/office/drawing/2014/main" id="{908DB3BA-E64D-41DD-95C0-2FF77AC8978A}"/>
            </a:ext>
          </a:extLst>
        </xdr:cNvPr>
        <xdr:cNvSpPr txBox="1"/>
      </xdr:nvSpPr>
      <xdr:spPr>
        <a:xfrm>
          <a:off x="1219200" y="127000"/>
          <a:ext cx="9696450" cy="5048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MY" sz="1400" b="1" i="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MY" sz="1400" b="1" i="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MY" sz="1400" b="1" i="0">
              <a:solidFill>
                <a:schemeClr val="dk1"/>
              </a:solidFill>
              <a:effectLst/>
              <a:latin typeface="+mn-lt"/>
              <a:ea typeface="+mn-ea"/>
              <a:cs typeface="+mn-cs"/>
            </a:rPr>
            <a:t>This is the Excel file used to perform the systematic literature review</a:t>
          </a:r>
        </a:p>
        <a:p>
          <a:pPr marL="0" marR="0" lvl="0" indent="0" algn="ctr" defTabSz="914400" eaLnBrk="1" fontAlgn="auto" latinLnBrk="0" hangingPunct="1">
            <a:lnSpc>
              <a:spcPct val="100000"/>
            </a:lnSpc>
            <a:spcBef>
              <a:spcPts val="0"/>
            </a:spcBef>
            <a:spcAft>
              <a:spcPts val="0"/>
            </a:spcAft>
            <a:buClrTx/>
            <a:buSzTx/>
            <a:buFontTx/>
            <a:buNone/>
            <a:tabLst/>
            <a:defRPr/>
          </a:pPr>
          <a:r>
            <a:rPr lang="en-MY" sz="1600" b="1" i="0">
              <a:solidFill>
                <a:srgbClr val="0070C0"/>
              </a:solidFill>
              <a:effectLst/>
              <a:latin typeface="+mn-lt"/>
              <a:ea typeface="+mn-ea"/>
              <a:cs typeface="+mn-cs"/>
            </a:rPr>
            <a:t>"User Experience Evaluation in Immersive Environments: A Systematic Review of </a:t>
          </a:r>
        </a:p>
        <a:p>
          <a:pPr marL="0" marR="0" lvl="0" indent="0" algn="ctr" defTabSz="914400" eaLnBrk="1" fontAlgn="auto" latinLnBrk="0" hangingPunct="1">
            <a:lnSpc>
              <a:spcPct val="100000"/>
            </a:lnSpc>
            <a:spcBef>
              <a:spcPts val="0"/>
            </a:spcBef>
            <a:spcAft>
              <a:spcPts val="0"/>
            </a:spcAft>
            <a:buClrTx/>
            <a:buSzTx/>
            <a:buFontTx/>
            <a:buNone/>
            <a:tabLst/>
            <a:defRPr/>
          </a:pPr>
          <a:r>
            <a:rPr lang="en-MY" sz="1600" b="1" i="0">
              <a:solidFill>
                <a:srgbClr val="0070C0"/>
              </a:solidFill>
              <a:effectLst/>
              <a:latin typeface="+mn-lt"/>
              <a:ea typeface="+mn-ea"/>
              <a:cs typeface="+mn-cs"/>
            </a:rPr>
            <a:t>State-of-the-Art"</a:t>
          </a:r>
          <a:endParaRPr lang="en-MY" sz="1600">
            <a:solidFill>
              <a:srgbClr val="0070C0"/>
            </a:solidFill>
            <a:effectLst/>
          </a:endParaRPr>
        </a:p>
        <a:p>
          <a:endParaRPr lang="en-MY" sz="1200">
            <a:solidFill>
              <a:schemeClr val="dk1"/>
            </a:solidFill>
            <a:effectLst/>
            <a:latin typeface="+mn-lt"/>
            <a:ea typeface="+mn-ea"/>
            <a:cs typeface="+mn-cs"/>
          </a:endParaRPr>
        </a:p>
        <a:p>
          <a:pPr eaLnBrk="1" fontAlgn="auto" latinLnBrk="0" hangingPunct="1"/>
          <a:endParaRPr lang="en-MY" sz="1200" b="1">
            <a:effectLst/>
          </a:endParaRPr>
        </a:p>
        <a:p>
          <a:endParaRPr lang="en-MY" sz="1200"/>
        </a:p>
        <a:p>
          <a:endParaRPr lang="en-MY"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265906</xdr:colOff>
      <xdr:row>3</xdr:row>
      <xdr:rowOff>25400</xdr:rowOff>
    </xdr:from>
    <xdr:to>
      <xdr:col>9</xdr:col>
      <xdr:colOff>313531</xdr:colOff>
      <xdr:row>18</xdr:row>
      <xdr:rowOff>30162</xdr:rowOff>
    </xdr:to>
    <xdr:graphicFrame macro="">
      <xdr:nvGraphicFramePr>
        <xdr:cNvPr id="4" name="Chart 3">
          <a:extLst>
            <a:ext uri="{FF2B5EF4-FFF2-40B4-BE49-F238E27FC236}">
              <a16:creationId xmlns:a16="http://schemas.microsoft.com/office/drawing/2014/main" id="{065D412E-6776-FB03-6265-3CEBA8479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333375</xdr:colOff>
      <xdr:row>3</xdr:row>
      <xdr:rowOff>162819</xdr:rowOff>
    </xdr:from>
    <xdr:to>
      <xdr:col>17</xdr:col>
      <xdr:colOff>546287</xdr:colOff>
      <xdr:row>32</xdr:row>
      <xdr:rowOff>70036</xdr:rowOff>
    </xdr:to>
    <xdr:graphicFrame macro="">
      <xdr:nvGraphicFramePr>
        <xdr:cNvPr id="2" name="Chart 1">
          <a:extLst>
            <a:ext uri="{FF2B5EF4-FFF2-40B4-BE49-F238E27FC236}">
              <a16:creationId xmlns:a16="http://schemas.microsoft.com/office/drawing/2014/main" id="{D6259DAA-B18E-6A58-FEDC-8CE33D995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214314</xdr:colOff>
      <xdr:row>7</xdr:row>
      <xdr:rowOff>173036</xdr:rowOff>
    </xdr:from>
    <xdr:to>
      <xdr:col>15</xdr:col>
      <xdr:colOff>261938</xdr:colOff>
      <xdr:row>24</xdr:row>
      <xdr:rowOff>26987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AE550CD-60D0-08CC-D146-0BFD666907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94214" y="1462086"/>
              <a:ext cx="5534024" cy="29845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263525</xdr:colOff>
      <xdr:row>1</xdr:row>
      <xdr:rowOff>123825</xdr:rowOff>
    </xdr:from>
    <xdr:to>
      <xdr:col>11</xdr:col>
      <xdr:colOff>545353</xdr:colOff>
      <xdr:row>16</xdr:row>
      <xdr:rowOff>104775</xdr:rowOff>
    </xdr:to>
    <xdr:graphicFrame macro="">
      <xdr:nvGraphicFramePr>
        <xdr:cNvPr id="3" name="Chart 2">
          <a:extLst>
            <a:ext uri="{FF2B5EF4-FFF2-40B4-BE49-F238E27FC236}">
              <a16:creationId xmlns:a16="http://schemas.microsoft.com/office/drawing/2014/main" id="{47D555DF-D5EE-5213-95AD-B51986E65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333375</xdr:colOff>
      <xdr:row>17</xdr:row>
      <xdr:rowOff>39687</xdr:rowOff>
    </xdr:from>
    <xdr:to>
      <xdr:col>14</xdr:col>
      <xdr:colOff>25400</xdr:colOff>
      <xdr:row>32</xdr:row>
      <xdr:rowOff>74612</xdr:rowOff>
    </xdr:to>
    <xdr:graphicFrame macro="">
      <xdr:nvGraphicFramePr>
        <xdr:cNvPr id="2" name="Chart 1">
          <a:extLst>
            <a:ext uri="{FF2B5EF4-FFF2-40B4-BE49-F238E27FC236}">
              <a16:creationId xmlns:a16="http://schemas.microsoft.com/office/drawing/2014/main" id="{24A7AAC5-D22C-9209-7F17-9A09702CA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17</xdr:col>
      <xdr:colOff>263176</xdr:colOff>
      <xdr:row>16</xdr:row>
      <xdr:rowOff>63150</xdr:rowOff>
    </xdr:from>
    <xdr:to>
      <xdr:col>23</xdr:col>
      <xdr:colOff>430037</xdr:colOff>
      <xdr:row>30</xdr:row>
      <xdr:rowOff>119946</xdr:rowOff>
    </xdr:to>
    <xdr:graphicFrame macro="">
      <xdr:nvGraphicFramePr>
        <xdr:cNvPr id="2" name="Chart 1">
          <a:extLst>
            <a:ext uri="{FF2B5EF4-FFF2-40B4-BE49-F238E27FC236}">
              <a16:creationId xmlns:a16="http://schemas.microsoft.com/office/drawing/2014/main" id="{0E75819A-A911-86FF-0B91-41269D602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310584</xdr:colOff>
      <xdr:row>1</xdr:row>
      <xdr:rowOff>56446</xdr:rowOff>
    </xdr:from>
    <xdr:to>
      <xdr:col>10</xdr:col>
      <xdr:colOff>96497</xdr:colOff>
      <xdr:row>20</xdr:row>
      <xdr:rowOff>119375</xdr:rowOff>
    </xdr:to>
    <xdr:graphicFrame macro="">
      <xdr:nvGraphicFramePr>
        <xdr:cNvPr id="2" name="Chart 1">
          <a:extLst>
            <a:ext uri="{FF2B5EF4-FFF2-40B4-BE49-F238E27FC236}">
              <a16:creationId xmlns:a16="http://schemas.microsoft.com/office/drawing/2014/main" id="{43E91372-3C2B-3397-F1C6-12F132E22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8B1A-3748-42F4-A7F3-A6689AA7EBB3}">
  <dimension ref="A1"/>
  <sheetViews>
    <sheetView tabSelected="1" workbookViewId="0">
      <selection activeCell="C7" sqref="C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9168-D161-4B37-9D00-DA0C118BA8ED}">
  <dimension ref="A1:X58"/>
  <sheetViews>
    <sheetView zoomScale="80" zoomScaleNormal="80" workbookViewId="0">
      <pane ySplit="1" topLeftCell="A47" activePane="bottomLeft" state="frozen"/>
      <selection activeCell="E1" sqref="E1"/>
      <selection pane="bottomLeft" activeCell="S56" sqref="S56"/>
    </sheetView>
  </sheetViews>
  <sheetFormatPr defaultRowHeight="22" customHeight="1" x14ac:dyDescent="0.35"/>
  <cols>
    <col min="1" max="1" width="7" style="3" customWidth="1"/>
    <col min="2" max="2" width="49.54296875" style="3" customWidth="1"/>
    <col min="3" max="3" width="13.6328125" style="3" customWidth="1"/>
    <col min="4" max="4" width="14" style="3" customWidth="1"/>
    <col min="5" max="5" width="10.08984375" style="1" customWidth="1"/>
    <col min="6" max="6" width="11.36328125" style="3" customWidth="1"/>
    <col min="7" max="7" width="14.36328125" style="3" customWidth="1"/>
    <col min="8" max="8" width="13.6328125" style="3" customWidth="1"/>
    <col min="9" max="9" width="17.90625" style="3" customWidth="1"/>
    <col min="10" max="10" width="14.453125" style="3" customWidth="1"/>
    <col min="11" max="11" width="12.7265625" style="3" bestFit="1" customWidth="1"/>
    <col min="12" max="12" width="31.7265625" style="3" customWidth="1"/>
    <col min="13" max="14" width="17.6328125" style="3" customWidth="1"/>
    <col min="15" max="15" width="28.54296875" style="3" customWidth="1"/>
    <col min="16" max="16" width="25.36328125" style="3" customWidth="1"/>
    <col min="17" max="17" width="55" style="3" hidden="1" customWidth="1"/>
    <col min="18" max="18" width="24.453125" style="3" customWidth="1"/>
    <col min="19" max="19" width="42.08984375" style="3" customWidth="1"/>
    <col min="20" max="20" width="16.81640625" style="3" customWidth="1"/>
    <col min="21" max="21" width="10.6328125" style="3" customWidth="1"/>
    <col min="22" max="16384" width="8.7265625" style="3"/>
  </cols>
  <sheetData>
    <row r="1" spans="1:24" ht="22" customHeight="1" x14ac:dyDescent="0.35">
      <c r="A1" s="1" t="s">
        <v>16</v>
      </c>
      <c r="B1" s="2" t="s">
        <v>1</v>
      </c>
      <c r="C1" s="2" t="s">
        <v>2</v>
      </c>
      <c r="D1" s="2" t="s">
        <v>60</v>
      </c>
      <c r="E1" s="2" t="s">
        <v>3</v>
      </c>
      <c r="F1" s="2" t="s">
        <v>5</v>
      </c>
      <c r="G1" s="2" t="s">
        <v>374</v>
      </c>
      <c r="H1" s="34" t="s">
        <v>17</v>
      </c>
      <c r="I1" s="2" t="s">
        <v>4</v>
      </c>
      <c r="J1" s="2" t="s">
        <v>6</v>
      </c>
      <c r="K1" s="1" t="s">
        <v>7</v>
      </c>
      <c r="L1" s="1" t="s">
        <v>32</v>
      </c>
      <c r="M1" s="2" t="s">
        <v>0</v>
      </c>
      <c r="N1" s="2" t="s">
        <v>673</v>
      </c>
      <c r="O1" s="2" t="s">
        <v>9</v>
      </c>
      <c r="P1" s="2" t="s">
        <v>849</v>
      </c>
      <c r="Q1" s="2" t="s">
        <v>10</v>
      </c>
      <c r="R1" s="2" t="s">
        <v>8</v>
      </c>
      <c r="S1" s="2" t="s">
        <v>41</v>
      </c>
      <c r="T1" s="2" t="s">
        <v>857</v>
      </c>
      <c r="U1" s="6"/>
      <c r="V1" s="6"/>
      <c r="W1" s="6"/>
      <c r="X1" s="6"/>
    </row>
    <row r="2" spans="1:24" ht="22" customHeight="1" x14ac:dyDescent="0.35">
      <c r="A2" s="3" t="s">
        <v>653</v>
      </c>
      <c r="B2" s="3" t="s">
        <v>241</v>
      </c>
      <c r="C2" s="3" t="s">
        <v>242</v>
      </c>
      <c r="D2" s="3" t="s">
        <v>243</v>
      </c>
      <c r="E2" s="3">
        <v>2020</v>
      </c>
      <c r="F2" s="3" t="s">
        <v>606</v>
      </c>
      <c r="G2" s="3" t="s">
        <v>420</v>
      </c>
      <c r="H2" s="3" t="s">
        <v>102</v>
      </c>
      <c r="I2" s="3" t="s">
        <v>569</v>
      </c>
      <c r="J2" s="3" t="s">
        <v>565</v>
      </c>
      <c r="K2" s="3">
        <v>616</v>
      </c>
      <c r="L2" s="3" t="s">
        <v>244</v>
      </c>
      <c r="M2" s="3" t="s">
        <v>714</v>
      </c>
      <c r="N2" s="3" t="s">
        <v>818</v>
      </c>
      <c r="O2" s="3" t="s">
        <v>460</v>
      </c>
      <c r="P2" s="3">
        <v>269</v>
      </c>
      <c r="Q2" s="3" t="s">
        <v>461</v>
      </c>
      <c r="R2" s="3" t="s">
        <v>462</v>
      </c>
      <c r="S2" s="3" t="s">
        <v>246</v>
      </c>
      <c r="T2" s="3" t="s">
        <v>839</v>
      </c>
    </row>
    <row r="3" spans="1:24" ht="22" customHeight="1" x14ac:dyDescent="0.35">
      <c r="A3" s="3" t="s">
        <v>622</v>
      </c>
      <c r="B3" s="3" t="s">
        <v>55</v>
      </c>
      <c r="C3" s="3" t="s">
        <v>56</v>
      </c>
      <c r="D3" s="3" t="s">
        <v>61</v>
      </c>
      <c r="E3" s="3">
        <v>2019</v>
      </c>
      <c r="F3" s="3" t="s">
        <v>57</v>
      </c>
      <c r="G3" s="3" t="s">
        <v>376</v>
      </c>
      <c r="H3" s="3" t="s">
        <v>24</v>
      </c>
      <c r="I3" s="3" t="s">
        <v>58</v>
      </c>
      <c r="J3" s="3" t="s">
        <v>148</v>
      </c>
      <c r="K3" s="3">
        <v>551</v>
      </c>
      <c r="L3" s="3" t="s">
        <v>59</v>
      </c>
      <c r="M3" s="3" t="s">
        <v>676</v>
      </c>
      <c r="N3" s="3" t="s">
        <v>273</v>
      </c>
      <c r="O3" s="3" t="s">
        <v>62</v>
      </c>
      <c r="P3" s="3">
        <v>36</v>
      </c>
      <c r="Q3" s="3" t="s">
        <v>64</v>
      </c>
      <c r="R3" s="3" t="s">
        <v>541</v>
      </c>
      <c r="S3" s="3" t="s">
        <v>542</v>
      </c>
      <c r="T3" s="3" t="s">
        <v>839</v>
      </c>
    </row>
    <row r="4" spans="1:24" ht="22" customHeight="1" x14ac:dyDescent="0.35">
      <c r="A4" s="3" t="s">
        <v>628</v>
      </c>
      <c r="B4" s="3" t="s">
        <v>115</v>
      </c>
      <c r="C4" s="3" t="s">
        <v>117</v>
      </c>
      <c r="D4" s="3" t="s">
        <v>118</v>
      </c>
      <c r="E4" s="3">
        <v>2021</v>
      </c>
      <c r="F4" s="3" t="s">
        <v>38</v>
      </c>
      <c r="G4" s="3" t="s">
        <v>378</v>
      </c>
      <c r="H4" s="3" t="s">
        <v>102</v>
      </c>
      <c r="I4" s="3" t="s">
        <v>583</v>
      </c>
      <c r="J4" s="3" t="s">
        <v>565</v>
      </c>
      <c r="K4" s="3">
        <v>149</v>
      </c>
      <c r="L4" s="3" t="s">
        <v>116</v>
      </c>
      <c r="M4" s="3" t="s">
        <v>526</v>
      </c>
      <c r="N4" s="3" t="s">
        <v>818</v>
      </c>
      <c r="O4" s="3" t="s">
        <v>119</v>
      </c>
      <c r="P4" s="3">
        <v>368</v>
      </c>
      <c r="Q4" s="3" t="s">
        <v>120</v>
      </c>
      <c r="R4" s="3" t="s">
        <v>527</v>
      </c>
      <c r="S4" s="3" t="s">
        <v>121</v>
      </c>
      <c r="T4" s="3" t="s">
        <v>838</v>
      </c>
    </row>
    <row r="5" spans="1:24" ht="22" customHeight="1" x14ac:dyDescent="0.35">
      <c r="A5" s="3" t="s">
        <v>636</v>
      </c>
      <c r="B5" s="3" t="s">
        <v>122</v>
      </c>
      <c r="C5" s="3" t="s">
        <v>123</v>
      </c>
      <c r="D5" s="3" t="s">
        <v>125</v>
      </c>
      <c r="E5" s="3">
        <v>2021</v>
      </c>
      <c r="F5" s="3" t="s">
        <v>27</v>
      </c>
      <c r="G5" s="3" t="s">
        <v>375</v>
      </c>
      <c r="H5" s="3" t="s">
        <v>126</v>
      </c>
      <c r="I5" s="3" t="s">
        <v>595</v>
      </c>
      <c r="J5" s="3" t="s">
        <v>565</v>
      </c>
      <c r="K5" s="3">
        <v>76</v>
      </c>
      <c r="L5" s="3" t="s">
        <v>124</v>
      </c>
      <c r="M5" s="3" t="s">
        <v>678</v>
      </c>
      <c r="N5" s="3" t="s">
        <v>128</v>
      </c>
      <c r="O5" s="3" t="s">
        <v>437</v>
      </c>
      <c r="P5" s="3">
        <v>60</v>
      </c>
      <c r="Q5" s="3" t="s">
        <v>127</v>
      </c>
      <c r="R5" s="3" t="s">
        <v>438</v>
      </c>
      <c r="S5" s="3" t="s">
        <v>439</v>
      </c>
      <c r="T5" s="3" t="s">
        <v>838</v>
      </c>
    </row>
    <row r="6" spans="1:24" ht="22" customHeight="1" x14ac:dyDescent="0.35">
      <c r="A6" s="3" t="s">
        <v>661</v>
      </c>
      <c r="B6" s="3" t="s">
        <v>98</v>
      </c>
      <c r="C6" s="3" t="s">
        <v>99</v>
      </c>
      <c r="D6" s="3" t="s">
        <v>101</v>
      </c>
      <c r="E6" s="3">
        <v>2021</v>
      </c>
      <c r="F6" s="3" t="s">
        <v>48</v>
      </c>
      <c r="G6" s="3" t="s">
        <v>377</v>
      </c>
      <c r="H6" s="3" t="s">
        <v>102</v>
      </c>
      <c r="I6" s="3" t="s">
        <v>100</v>
      </c>
      <c r="J6" s="3" t="s">
        <v>565</v>
      </c>
      <c r="K6" s="3">
        <v>73</v>
      </c>
      <c r="L6" s="3" t="s">
        <v>103</v>
      </c>
      <c r="M6" s="3" t="s">
        <v>691</v>
      </c>
      <c r="N6" s="3" t="s">
        <v>128</v>
      </c>
      <c r="O6" s="3" t="s">
        <v>104</v>
      </c>
      <c r="P6" s="3">
        <v>131</v>
      </c>
      <c r="Q6" s="3" t="s">
        <v>105</v>
      </c>
      <c r="R6" s="3" t="s">
        <v>477</v>
      </c>
      <c r="S6" s="3" t="s">
        <v>106</v>
      </c>
      <c r="T6" s="3" t="s">
        <v>839</v>
      </c>
    </row>
    <row r="7" spans="1:24" ht="22" customHeight="1" x14ac:dyDescent="0.35">
      <c r="A7" s="3" t="s">
        <v>627</v>
      </c>
      <c r="B7" s="3" t="s">
        <v>150</v>
      </c>
      <c r="C7" s="3" t="s">
        <v>151</v>
      </c>
      <c r="D7" s="3" t="s">
        <v>154</v>
      </c>
      <c r="E7" s="3">
        <v>2019</v>
      </c>
      <c r="F7" s="3" t="s">
        <v>153</v>
      </c>
      <c r="G7" s="3" t="s">
        <v>378</v>
      </c>
      <c r="H7" s="3" t="s">
        <v>102</v>
      </c>
      <c r="I7" s="3" t="s">
        <v>583</v>
      </c>
      <c r="J7" s="3" t="s">
        <v>565</v>
      </c>
      <c r="K7" s="3">
        <v>68</v>
      </c>
      <c r="L7" s="3" t="s">
        <v>152</v>
      </c>
      <c r="M7" s="23" t="s">
        <v>716</v>
      </c>
      <c r="N7" s="3" t="s">
        <v>128</v>
      </c>
      <c r="O7" s="3" t="s">
        <v>719</v>
      </c>
      <c r="P7" s="3">
        <v>120</v>
      </c>
      <c r="Q7" s="3" t="s">
        <v>157</v>
      </c>
      <c r="R7" s="3" t="s">
        <v>529</v>
      </c>
      <c r="S7" s="3" t="s">
        <v>158</v>
      </c>
      <c r="T7" s="3" t="s">
        <v>839</v>
      </c>
      <c r="X7" s="4"/>
    </row>
    <row r="8" spans="1:24" ht="22" customHeight="1" x14ac:dyDescent="0.35">
      <c r="A8" s="3" t="s">
        <v>637</v>
      </c>
      <c r="B8" s="3" t="s">
        <v>247</v>
      </c>
      <c r="C8" s="3" t="s">
        <v>248</v>
      </c>
      <c r="D8" s="3" t="s">
        <v>249</v>
      </c>
      <c r="E8" s="3">
        <v>2019</v>
      </c>
      <c r="F8" s="3" t="s">
        <v>48</v>
      </c>
      <c r="G8" s="3" t="s">
        <v>375</v>
      </c>
      <c r="H8" s="3" t="s">
        <v>126</v>
      </c>
      <c r="I8" s="3" t="s">
        <v>593</v>
      </c>
      <c r="J8" s="3" t="s">
        <v>565</v>
      </c>
      <c r="K8" s="3">
        <v>63</v>
      </c>
      <c r="L8" s="3" t="s">
        <v>250</v>
      </c>
      <c r="M8" s="3" t="s">
        <v>688</v>
      </c>
      <c r="N8" s="3" t="s">
        <v>814</v>
      </c>
      <c r="O8" s="3" t="s">
        <v>251</v>
      </c>
      <c r="P8" s="3">
        <v>87</v>
      </c>
      <c r="Q8" s="3" t="s">
        <v>252</v>
      </c>
      <c r="R8" s="3" t="s">
        <v>253</v>
      </c>
      <c r="S8" s="3" t="s">
        <v>254</v>
      </c>
      <c r="T8" s="3" t="s">
        <v>838</v>
      </c>
    </row>
    <row r="9" spans="1:24" ht="22" customHeight="1" x14ac:dyDescent="0.35">
      <c r="A9" s="3" t="s">
        <v>662</v>
      </c>
      <c r="B9" s="3" t="s">
        <v>200</v>
      </c>
      <c r="C9" s="3" t="s">
        <v>201</v>
      </c>
      <c r="D9" s="3" t="s">
        <v>208</v>
      </c>
      <c r="E9" s="3">
        <v>2020</v>
      </c>
      <c r="F9" s="3" t="s">
        <v>187</v>
      </c>
      <c r="G9" s="3" t="s">
        <v>377</v>
      </c>
      <c r="H9" s="3" t="s">
        <v>134</v>
      </c>
      <c r="I9" s="3" t="s">
        <v>576</v>
      </c>
      <c r="J9" s="3" t="s">
        <v>565</v>
      </c>
      <c r="K9" s="3">
        <v>62</v>
      </c>
      <c r="L9" s="3" t="s">
        <v>202</v>
      </c>
      <c r="M9" s="3" t="s">
        <v>704</v>
      </c>
      <c r="N9" s="3" t="s">
        <v>830</v>
      </c>
      <c r="O9" s="3" t="s">
        <v>203</v>
      </c>
      <c r="P9" s="3">
        <v>30</v>
      </c>
      <c r="Q9" s="3" t="s">
        <v>204</v>
      </c>
      <c r="R9" s="3" t="s">
        <v>489</v>
      </c>
      <c r="S9" s="3" t="s">
        <v>490</v>
      </c>
      <c r="T9" s="3" t="s">
        <v>839</v>
      </c>
    </row>
    <row r="10" spans="1:24" ht="22" customHeight="1" x14ac:dyDescent="0.35">
      <c r="A10" s="3" t="s">
        <v>663</v>
      </c>
      <c r="B10" s="3" t="s">
        <v>313</v>
      </c>
      <c r="C10" s="3" t="s">
        <v>314</v>
      </c>
      <c r="D10" s="3" t="s">
        <v>315</v>
      </c>
      <c r="E10" s="3">
        <v>2023</v>
      </c>
      <c r="F10" s="3" t="s">
        <v>316</v>
      </c>
      <c r="G10" s="3" t="s">
        <v>377</v>
      </c>
      <c r="H10" s="5" t="s">
        <v>605</v>
      </c>
      <c r="I10" s="3" t="s">
        <v>578</v>
      </c>
      <c r="J10" s="3" t="s">
        <v>565</v>
      </c>
      <c r="K10" s="3">
        <v>62</v>
      </c>
      <c r="L10" s="3" t="s">
        <v>317</v>
      </c>
      <c r="M10" s="3" t="s">
        <v>692</v>
      </c>
      <c r="N10" s="3" t="s">
        <v>721</v>
      </c>
      <c r="O10" s="3" t="s">
        <v>318</v>
      </c>
      <c r="P10" s="3">
        <v>21</v>
      </c>
      <c r="Q10" s="3" t="s">
        <v>321</v>
      </c>
      <c r="R10" s="3" t="s">
        <v>522</v>
      </c>
      <c r="S10" s="3" t="s">
        <v>523</v>
      </c>
      <c r="T10" s="3" t="s">
        <v>838</v>
      </c>
    </row>
    <row r="11" spans="1:24" ht="22" customHeight="1" x14ac:dyDescent="0.35">
      <c r="A11" s="3" t="s">
        <v>654</v>
      </c>
      <c r="B11" s="3" t="s">
        <v>329</v>
      </c>
      <c r="C11" s="3" t="s">
        <v>330</v>
      </c>
      <c r="D11" s="3" t="s">
        <v>331</v>
      </c>
      <c r="E11" s="3">
        <v>2020</v>
      </c>
      <c r="F11" s="3" t="s">
        <v>606</v>
      </c>
      <c r="G11" s="3" t="s">
        <v>420</v>
      </c>
      <c r="H11" s="3" t="s">
        <v>102</v>
      </c>
      <c r="I11" s="3" t="s">
        <v>332</v>
      </c>
      <c r="J11" s="3" t="s">
        <v>565</v>
      </c>
      <c r="K11" s="3">
        <v>56</v>
      </c>
      <c r="L11" s="35" t="s">
        <v>333</v>
      </c>
      <c r="M11" s="3" t="s">
        <v>689</v>
      </c>
      <c r="N11" s="3" t="s">
        <v>273</v>
      </c>
      <c r="O11" s="3" t="s">
        <v>335</v>
      </c>
      <c r="P11" s="3">
        <v>26</v>
      </c>
      <c r="Q11" s="3" t="s">
        <v>334</v>
      </c>
      <c r="R11" s="3" t="s">
        <v>468</v>
      </c>
      <c r="S11" s="3" t="s">
        <v>336</v>
      </c>
      <c r="T11" s="3" t="s">
        <v>838</v>
      </c>
    </row>
    <row r="12" spans="1:24" ht="22" customHeight="1" x14ac:dyDescent="0.35">
      <c r="A12" s="3" t="s">
        <v>664</v>
      </c>
      <c r="B12" s="3" t="s">
        <v>107</v>
      </c>
      <c r="C12" s="3" t="s">
        <v>108</v>
      </c>
      <c r="D12" s="3" t="s">
        <v>109</v>
      </c>
      <c r="E12" s="3">
        <v>2021</v>
      </c>
      <c r="F12" s="3" t="s">
        <v>110</v>
      </c>
      <c r="G12" s="3" t="s">
        <v>377</v>
      </c>
      <c r="H12" s="3" t="s">
        <v>13</v>
      </c>
      <c r="I12" s="3" t="s">
        <v>581</v>
      </c>
      <c r="J12" s="3" t="s">
        <v>565</v>
      </c>
      <c r="K12" s="3">
        <v>53</v>
      </c>
      <c r="L12" s="3" t="s">
        <v>111</v>
      </c>
      <c r="M12" s="3" t="s">
        <v>478</v>
      </c>
      <c r="N12" s="3" t="s">
        <v>721</v>
      </c>
      <c r="O12" s="3" t="s">
        <v>112</v>
      </c>
      <c r="P12" s="3">
        <v>30</v>
      </c>
      <c r="Q12" s="3" t="s">
        <v>114</v>
      </c>
      <c r="R12" s="3" t="s">
        <v>480</v>
      </c>
      <c r="S12" s="3" t="s">
        <v>481</v>
      </c>
      <c r="T12" s="3" t="s">
        <v>839</v>
      </c>
    </row>
    <row r="13" spans="1:24" ht="22" customHeight="1" x14ac:dyDescent="0.35">
      <c r="A13" s="3" t="s">
        <v>655</v>
      </c>
      <c r="B13" s="3" t="s">
        <v>301</v>
      </c>
      <c r="C13" s="3" t="s">
        <v>302</v>
      </c>
      <c r="D13" s="3" t="s">
        <v>303</v>
      </c>
      <c r="E13" s="3">
        <v>2023</v>
      </c>
      <c r="F13" s="3" t="s">
        <v>48</v>
      </c>
      <c r="G13" s="3" t="s">
        <v>420</v>
      </c>
      <c r="H13" s="3" t="s">
        <v>102</v>
      </c>
      <c r="I13" s="3" t="s">
        <v>579</v>
      </c>
      <c r="J13" s="3" t="s">
        <v>565</v>
      </c>
      <c r="K13" s="3">
        <v>46</v>
      </c>
      <c r="L13" s="3" t="s">
        <v>304</v>
      </c>
      <c r="M13" s="3" t="s">
        <v>711</v>
      </c>
      <c r="N13" s="3" t="s">
        <v>818</v>
      </c>
      <c r="O13" s="3" t="s">
        <v>305</v>
      </c>
      <c r="P13" s="3">
        <v>45</v>
      </c>
      <c r="Q13" s="3" t="s">
        <v>306</v>
      </c>
      <c r="R13" s="3" t="s">
        <v>465</v>
      </c>
      <c r="S13" s="3" t="s">
        <v>307</v>
      </c>
      <c r="T13" s="3" t="s">
        <v>839</v>
      </c>
    </row>
    <row r="14" spans="1:24" ht="22" customHeight="1" x14ac:dyDescent="0.35">
      <c r="A14" s="3" t="s">
        <v>530</v>
      </c>
      <c r="B14" s="3" t="s">
        <v>130</v>
      </c>
      <c r="C14" s="3" t="s">
        <v>131</v>
      </c>
      <c r="D14" s="3" t="s">
        <v>132</v>
      </c>
      <c r="E14" s="3">
        <v>2019</v>
      </c>
      <c r="F14" s="3" t="s">
        <v>133</v>
      </c>
      <c r="G14" s="3" t="s">
        <v>377</v>
      </c>
      <c r="H14" s="3" t="s">
        <v>134</v>
      </c>
      <c r="I14" s="3" t="s">
        <v>573</v>
      </c>
      <c r="J14" s="3" t="s">
        <v>565</v>
      </c>
      <c r="K14" s="3">
        <v>44</v>
      </c>
      <c r="L14" s="3" t="s">
        <v>129</v>
      </c>
      <c r="M14" s="3" t="s">
        <v>705</v>
      </c>
      <c r="N14" s="3" t="s">
        <v>128</v>
      </c>
      <c r="O14" s="3" t="s">
        <v>137</v>
      </c>
      <c r="P14" s="3">
        <v>32</v>
      </c>
      <c r="Q14" s="3" t="s">
        <v>136</v>
      </c>
      <c r="R14" s="3" t="s">
        <v>532</v>
      </c>
      <c r="S14" s="3" t="s">
        <v>533</v>
      </c>
      <c r="T14" s="3" t="s">
        <v>838</v>
      </c>
    </row>
    <row r="15" spans="1:24" ht="22" customHeight="1" x14ac:dyDescent="0.35">
      <c r="A15" s="3" t="s">
        <v>665</v>
      </c>
      <c r="B15" s="3" t="s">
        <v>65</v>
      </c>
      <c r="C15" s="3" t="s">
        <v>66</v>
      </c>
      <c r="D15" s="3" t="s">
        <v>67</v>
      </c>
      <c r="E15" s="3">
        <v>2019</v>
      </c>
      <c r="F15" s="3" t="s">
        <v>606</v>
      </c>
      <c r="G15" s="3" t="s">
        <v>377</v>
      </c>
      <c r="H15" s="5" t="s">
        <v>605</v>
      </c>
      <c r="I15" s="3" t="s">
        <v>575</v>
      </c>
      <c r="J15" s="3" t="s">
        <v>565</v>
      </c>
      <c r="K15" s="3">
        <v>37</v>
      </c>
      <c r="L15" s="3" t="s">
        <v>68</v>
      </c>
      <c r="M15" s="3" t="s">
        <v>706</v>
      </c>
      <c r="N15" s="3" t="s">
        <v>720</v>
      </c>
      <c r="O15" s="3" t="s">
        <v>72</v>
      </c>
      <c r="P15" s="3">
        <v>24</v>
      </c>
      <c r="Q15" s="3" t="s">
        <v>70</v>
      </c>
      <c r="R15" s="3" t="s">
        <v>73</v>
      </c>
      <c r="S15" s="3" t="s">
        <v>475</v>
      </c>
      <c r="T15" s="3" t="s">
        <v>838</v>
      </c>
    </row>
    <row r="16" spans="1:24" ht="22" customHeight="1" x14ac:dyDescent="0.35">
      <c r="A16" s="3" t="s">
        <v>623</v>
      </c>
      <c r="B16" s="3" t="s">
        <v>35</v>
      </c>
      <c r="C16" s="3" t="s">
        <v>36</v>
      </c>
      <c r="D16" s="3" t="s">
        <v>37</v>
      </c>
      <c r="E16" s="3">
        <v>2023</v>
      </c>
      <c r="F16" s="3" t="s">
        <v>38</v>
      </c>
      <c r="G16" s="3" t="s">
        <v>376</v>
      </c>
      <c r="H16" s="3" t="s">
        <v>24</v>
      </c>
      <c r="I16" s="3" t="s">
        <v>572</v>
      </c>
      <c r="J16" s="3" t="s">
        <v>565</v>
      </c>
      <c r="K16" s="3">
        <v>35</v>
      </c>
      <c r="L16" s="3" t="s">
        <v>39</v>
      </c>
      <c r="M16" s="3" t="s">
        <v>686</v>
      </c>
      <c r="N16" s="3" t="s">
        <v>721</v>
      </c>
      <c r="O16" s="3" t="s">
        <v>40</v>
      </c>
      <c r="P16" s="3">
        <v>62</v>
      </c>
      <c r="Q16" s="3" t="s">
        <v>44</v>
      </c>
      <c r="R16" s="3" t="s">
        <v>538</v>
      </c>
      <c r="S16" s="3" t="s">
        <v>43</v>
      </c>
      <c r="T16" s="3" t="s">
        <v>838</v>
      </c>
    </row>
    <row r="17" spans="1:20" ht="22" customHeight="1" x14ac:dyDescent="0.35">
      <c r="A17" s="3" t="s">
        <v>666</v>
      </c>
      <c r="B17" s="3" t="s">
        <v>168</v>
      </c>
      <c r="C17" s="3" t="s">
        <v>169</v>
      </c>
      <c r="D17" s="3" t="s">
        <v>170</v>
      </c>
      <c r="E17" s="3">
        <v>2023</v>
      </c>
      <c r="F17" s="3" t="s">
        <v>171</v>
      </c>
      <c r="G17" s="3" t="s">
        <v>377</v>
      </c>
      <c r="H17" s="3" t="s">
        <v>172</v>
      </c>
      <c r="I17" s="3" t="s">
        <v>584</v>
      </c>
      <c r="J17" s="3" t="s">
        <v>565</v>
      </c>
      <c r="K17" s="3">
        <v>30</v>
      </c>
      <c r="L17" s="3" t="s">
        <v>173</v>
      </c>
      <c r="M17" s="3" t="s">
        <v>684</v>
      </c>
      <c r="N17" s="3" t="s">
        <v>720</v>
      </c>
      <c r="O17" s="3" t="s">
        <v>174</v>
      </c>
      <c r="P17" s="3">
        <v>28</v>
      </c>
      <c r="Q17" s="3" t="s">
        <v>175</v>
      </c>
      <c r="R17" s="3" t="s">
        <v>485</v>
      </c>
      <c r="S17" s="3" t="s">
        <v>486</v>
      </c>
      <c r="T17" s="3" t="s">
        <v>839</v>
      </c>
    </row>
    <row r="18" spans="1:20" ht="22" customHeight="1" x14ac:dyDescent="0.35">
      <c r="A18" s="3" t="s">
        <v>638</v>
      </c>
      <c r="B18" s="3" t="s">
        <v>399</v>
      </c>
      <c r="C18" s="3" t="s">
        <v>400</v>
      </c>
      <c r="D18" s="3" t="s">
        <v>401</v>
      </c>
      <c r="E18" s="3">
        <v>2023</v>
      </c>
      <c r="F18" s="3" t="s">
        <v>606</v>
      </c>
      <c r="G18" s="3" t="s">
        <v>375</v>
      </c>
      <c r="H18" s="3" t="s">
        <v>126</v>
      </c>
      <c r="I18" s="3" t="s">
        <v>593</v>
      </c>
      <c r="J18" s="3" t="s">
        <v>565</v>
      </c>
      <c r="K18" s="3">
        <v>26</v>
      </c>
      <c r="L18" s="3" t="s">
        <v>402</v>
      </c>
      <c r="M18" s="3" t="s">
        <v>708</v>
      </c>
      <c r="N18" s="3" t="s">
        <v>818</v>
      </c>
      <c r="O18" s="3" t="s">
        <v>403</v>
      </c>
      <c r="P18" s="3">
        <v>32</v>
      </c>
      <c r="Q18" s="3" t="s">
        <v>404</v>
      </c>
      <c r="R18" s="3" t="s">
        <v>445</v>
      </c>
      <c r="S18" s="3" t="s">
        <v>446</v>
      </c>
      <c r="T18" s="3" t="s">
        <v>839</v>
      </c>
    </row>
    <row r="19" spans="1:20" ht="22" customHeight="1" x14ac:dyDescent="0.35">
      <c r="A19" s="3" t="s">
        <v>624</v>
      </c>
      <c r="B19" s="3" t="s">
        <v>94</v>
      </c>
      <c r="C19" s="3" t="s">
        <v>95</v>
      </c>
      <c r="D19" s="3" t="s">
        <v>193</v>
      </c>
      <c r="E19" s="3">
        <v>2022</v>
      </c>
      <c r="F19" s="3" t="s">
        <v>194</v>
      </c>
      <c r="G19" s="3" t="s">
        <v>376</v>
      </c>
      <c r="H19" s="3" t="s">
        <v>24</v>
      </c>
      <c r="I19" s="3" t="s">
        <v>567</v>
      </c>
      <c r="J19" s="3" t="s">
        <v>148</v>
      </c>
      <c r="K19" s="3">
        <v>24</v>
      </c>
      <c r="L19" s="3" t="s">
        <v>96</v>
      </c>
      <c r="M19" s="3" t="s">
        <v>677</v>
      </c>
      <c r="N19" s="3" t="s">
        <v>128</v>
      </c>
      <c r="O19" s="3" t="s">
        <v>435</v>
      </c>
      <c r="P19" s="3">
        <v>14</v>
      </c>
      <c r="Q19" s="3" t="s">
        <v>97</v>
      </c>
      <c r="R19" s="3" t="s">
        <v>553</v>
      </c>
      <c r="S19" s="3" t="s">
        <v>436</v>
      </c>
      <c r="T19" s="3" t="s">
        <v>839</v>
      </c>
    </row>
    <row r="20" spans="1:20" ht="22" customHeight="1" x14ac:dyDescent="0.35">
      <c r="A20" s="3" t="s">
        <v>639</v>
      </c>
      <c r="B20" s="3" t="s">
        <v>227</v>
      </c>
      <c r="C20" s="3" t="s">
        <v>228</v>
      </c>
      <c r="D20" s="3" t="s">
        <v>229</v>
      </c>
      <c r="E20" s="3">
        <v>2020</v>
      </c>
      <c r="F20" s="3" t="s">
        <v>171</v>
      </c>
      <c r="G20" s="3" t="s">
        <v>375</v>
      </c>
      <c r="H20" s="3" t="s">
        <v>126</v>
      </c>
      <c r="I20" s="3" t="s">
        <v>602</v>
      </c>
      <c r="J20" s="3" t="s">
        <v>148</v>
      </c>
      <c r="K20" s="3">
        <v>23</v>
      </c>
      <c r="L20" s="3" t="s">
        <v>230</v>
      </c>
      <c r="M20" s="3" t="s">
        <v>709</v>
      </c>
      <c r="N20" s="3" t="s">
        <v>721</v>
      </c>
      <c r="O20" s="3" t="s">
        <v>232</v>
      </c>
      <c r="P20" s="3">
        <v>45</v>
      </c>
      <c r="Q20" s="3" t="s">
        <v>231</v>
      </c>
      <c r="R20" s="3" t="s">
        <v>447</v>
      </c>
      <c r="S20" s="3" t="s">
        <v>234</v>
      </c>
      <c r="T20" s="3" t="s">
        <v>839</v>
      </c>
    </row>
    <row r="21" spans="1:20" ht="22" customHeight="1" x14ac:dyDescent="0.35">
      <c r="A21" s="3" t="s">
        <v>656</v>
      </c>
      <c r="B21" s="3" t="s">
        <v>277</v>
      </c>
      <c r="C21" s="3" t="s">
        <v>278</v>
      </c>
      <c r="D21" s="3" t="s">
        <v>279</v>
      </c>
      <c r="E21" s="3">
        <v>2025</v>
      </c>
      <c r="F21" s="3" t="s">
        <v>280</v>
      </c>
      <c r="G21" s="3" t="s">
        <v>420</v>
      </c>
      <c r="H21" s="3" t="s">
        <v>102</v>
      </c>
      <c r="I21" s="3" t="s">
        <v>281</v>
      </c>
      <c r="J21" s="3" t="s">
        <v>565</v>
      </c>
      <c r="K21" s="3">
        <v>23</v>
      </c>
      <c r="L21" s="3" t="s">
        <v>282</v>
      </c>
      <c r="M21" s="3" t="s">
        <v>715</v>
      </c>
      <c r="N21" s="3" t="s">
        <v>830</v>
      </c>
      <c r="O21" s="3" t="s">
        <v>463</v>
      </c>
      <c r="P21" s="3">
        <v>285</v>
      </c>
      <c r="Q21" s="3" t="s">
        <v>283</v>
      </c>
      <c r="R21" s="3" t="s">
        <v>464</v>
      </c>
      <c r="S21" s="3" t="s">
        <v>284</v>
      </c>
      <c r="T21" s="3" t="s">
        <v>839</v>
      </c>
    </row>
    <row r="22" spans="1:20" ht="22" customHeight="1" x14ac:dyDescent="0.35">
      <c r="A22" s="3" t="s">
        <v>640</v>
      </c>
      <c r="B22" s="3" t="s">
        <v>261</v>
      </c>
      <c r="C22" s="3" t="s">
        <v>262</v>
      </c>
      <c r="D22" s="3" t="s">
        <v>263</v>
      </c>
      <c r="E22" s="3">
        <v>2019</v>
      </c>
      <c r="F22" s="3" t="s">
        <v>264</v>
      </c>
      <c r="G22" s="3" t="s">
        <v>375</v>
      </c>
      <c r="H22" s="3" t="s">
        <v>126</v>
      </c>
      <c r="I22" s="3" t="s">
        <v>587</v>
      </c>
      <c r="J22" s="3" t="s">
        <v>148</v>
      </c>
      <c r="K22" s="3">
        <v>22</v>
      </c>
      <c r="L22" s="3" t="s">
        <v>265</v>
      </c>
      <c r="M22" s="3" t="s">
        <v>679</v>
      </c>
      <c r="N22" s="3" t="s">
        <v>273</v>
      </c>
      <c r="O22" s="3" t="s">
        <v>266</v>
      </c>
      <c r="P22" s="3">
        <v>36</v>
      </c>
      <c r="Q22" s="3" t="s">
        <v>274</v>
      </c>
      <c r="R22" s="3" t="s">
        <v>453</v>
      </c>
      <c r="S22" s="3" t="s">
        <v>267</v>
      </c>
      <c r="T22" s="3" t="s">
        <v>838</v>
      </c>
    </row>
    <row r="23" spans="1:20" ht="22" customHeight="1" x14ac:dyDescent="0.35">
      <c r="A23" s="3" t="s">
        <v>625</v>
      </c>
      <c r="B23" s="3" t="s">
        <v>368</v>
      </c>
      <c r="C23" s="3" t="s">
        <v>369</v>
      </c>
      <c r="D23" s="3" t="s">
        <v>370</v>
      </c>
      <c r="E23" s="3">
        <v>2021</v>
      </c>
      <c r="F23" s="3" t="s">
        <v>371</v>
      </c>
      <c r="G23" s="3" t="s">
        <v>376</v>
      </c>
      <c r="H23" s="3" t="s">
        <v>24</v>
      </c>
      <c r="I23" s="3" t="s">
        <v>599</v>
      </c>
      <c r="J23" s="3" t="s">
        <v>148</v>
      </c>
      <c r="K23" s="3">
        <v>20</v>
      </c>
      <c r="L23" s="3" t="s">
        <v>372</v>
      </c>
      <c r="M23" s="3" t="s">
        <v>713</v>
      </c>
      <c r="N23" s="3" t="s">
        <v>128</v>
      </c>
      <c r="O23" s="3" t="s">
        <v>819</v>
      </c>
      <c r="P23" s="3">
        <v>74</v>
      </c>
      <c r="Q23" s="3" t="s">
        <v>373</v>
      </c>
      <c r="R23" s="3" t="s">
        <v>557</v>
      </c>
      <c r="S23" s="3" t="s">
        <v>558</v>
      </c>
      <c r="T23" s="3" t="s">
        <v>838</v>
      </c>
    </row>
    <row r="24" spans="1:20" ht="22" customHeight="1" x14ac:dyDescent="0.35">
      <c r="A24" s="3" t="s">
        <v>626</v>
      </c>
      <c r="B24" s="3" t="s">
        <v>88</v>
      </c>
      <c r="C24" s="3" t="s">
        <v>89</v>
      </c>
      <c r="D24" s="3" t="s">
        <v>90</v>
      </c>
      <c r="E24" s="3">
        <v>2021</v>
      </c>
      <c r="F24" s="3" t="s">
        <v>38</v>
      </c>
      <c r="G24" s="3" t="s">
        <v>376</v>
      </c>
      <c r="H24" s="3" t="s">
        <v>24</v>
      </c>
      <c r="I24" s="3" t="s">
        <v>566</v>
      </c>
      <c r="J24" s="3" t="s">
        <v>148</v>
      </c>
      <c r="K24" s="3">
        <v>19</v>
      </c>
      <c r="L24" s="3" t="s">
        <v>91</v>
      </c>
      <c r="M24" s="3" t="s">
        <v>551</v>
      </c>
      <c r="N24" s="3" t="s">
        <v>273</v>
      </c>
      <c r="O24" s="3" t="s">
        <v>92</v>
      </c>
      <c r="P24" s="3">
        <v>16</v>
      </c>
      <c r="Q24" s="3" t="s">
        <v>93</v>
      </c>
      <c r="R24" s="35" t="s">
        <v>433</v>
      </c>
      <c r="S24" s="35" t="s">
        <v>434</v>
      </c>
      <c r="T24" s="3" t="s">
        <v>839</v>
      </c>
    </row>
    <row r="25" spans="1:20" ht="22" customHeight="1" x14ac:dyDescent="0.35">
      <c r="A25" s="3" t="s">
        <v>641</v>
      </c>
      <c r="B25" s="3" t="s">
        <v>235</v>
      </c>
      <c r="C25" s="3" t="s">
        <v>237</v>
      </c>
      <c r="D25" s="3" t="s">
        <v>238</v>
      </c>
      <c r="E25" s="3">
        <v>2019</v>
      </c>
      <c r="F25" s="3" t="s">
        <v>216</v>
      </c>
      <c r="G25" s="3" t="s">
        <v>375</v>
      </c>
      <c r="H25" s="3" t="s">
        <v>126</v>
      </c>
      <c r="I25" s="3" t="s">
        <v>236</v>
      </c>
      <c r="J25" s="3" t="s">
        <v>568</v>
      </c>
      <c r="K25" s="3">
        <v>17</v>
      </c>
      <c r="L25" s="3" t="s">
        <v>239</v>
      </c>
      <c r="M25" s="3" t="s">
        <v>680</v>
      </c>
      <c r="N25" s="3" t="s">
        <v>128</v>
      </c>
      <c r="O25" s="3" t="s">
        <v>232</v>
      </c>
      <c r="P25" s="3">
        <v>22</v>
      </c>
      <c r="Q25" s="3" t="s">
        <v>448</v>
      </c>
      <c r="R25" s="3" t="s">
        <v>449</v>
      </c>
      <c r="S25" s="3" t="s">
        <v>245</v>
      </c>
      <c r="T25" s="3" t="s">
        <v>838</v>
      </c>
    </row>
    <row r="26" spans="1:20" ht="22" customHeight="1" x14ac:dyDescent="0.35">
      <c r="A26" s="3" t="s">
        <v>667</v>
      </c>
      <c r="B26" s="3" t="s">
        <v>220</v>
      </c>
      <c r="C26" s="3" t="s">
        <v>221</v>
      </c>
      <c r="D26" s="3" t="s">
        <v>222</v>
      </c>
      <c r="E26" s="3">
        <v>2020</v>
      </c>
      <c r="F26" s="3" t="s">
        <v>133</v>
      </c>
      <c r="G26" s="3" t="s">
        <v>377</v>
      </c>
      <c r="H26" s="3" t="s">
        <v>134</v>
      </c>
      <c r="I26" s="3" t="s">
        <v>573</v>
      </c>
      <c r="J26" s="3" t="s">
        <v>565</v>
      </c>
      <c r="K26" s="3">
        <v>17</v>
      </c>
      <c r="L26" s="3" t="s">
        <v>223</v>
      </c>
      <c r="M26" s="3" t="s">
        <v>707</v>
      </c>
      <c r="N26" s="3" t="s">
        <v>830</v>
      </c>
      <c r="O26" s="3" t="s">
        <v>224</v>
      </c>
      <c r="P26" s="3">
        <v>50</v>
      </c>
      <c r="Q26" s="3" t="s">
        <v>225</v>
      </c>
      <c r="R26" s="3" t="s">
        <v>514</v>
      </c>
      <c r="S26" s="3" t="s">
        <v>226</v>
      </c>
      <c r="T26" s="3" t="s">
        <v>838</v>
      </c>
    </row>
    <row r="27" spans="1:20" ht="22" customHeight="1" x14ac:dyDescent="0.35">
      <c r="A27" s="3" t="s">
        <v>642</v>
      </c>
      <c r="B27" s="3" t="s">
        <v>138</v>
      </c>
      <c r="C27" s="3" t="s">
        <v>139</v>
      </c>
      <c r="D27" s="3" t="s">
        <v>140</v>
      </c>
      <c r="E27" s="3">
        <v>2021</v>
      </c>
      <c r="F27" s="3" t="s">
        <v>110</v>
      </c>
      <c r="G27" s="3" t="s">
        <v>375</v>
      </c>
      <c r="H27" s="3" t="s">
        <v>126</v>
      </c>
      <c r="I27" s="3" t="s">
        <v>589</v>
      </c>
      <c r="J27" s="3" t="s">
        <v>148</v>
      </c>
      <c r="K27" s="3">
        <v>16</v>
      </c>
      <c r="L27" s="3" t="s">
        <v>141</v>
      </c>
      <c r="M27" s="3" t="s">
        <v>681</v>
      </c>
      <c r="N27" s="3" t="s">
        <v>821</v>
      </c>
      <c r="O27" s="3" t="s">
        <v>144</v>
      </c>
      <c r="P27" s="3">
        <v>15</v>
      </c>
      <c r="Q27" s="3" t="s">
        <v>143</v>
      </c>
      <c r="R27" s="3" t="s">
        <v>561</v>
      </c>
      <c r="S27" s="3" t="s">
        <v>440</v>
      </c>
      <c r="T27" s="3" t="s">
        <v>838</v>
      </c>
    </row>
    <row r="28" spans="1:20" ht="22" customHeight="1" x14ac:dyDescent="0.35">
      <c r="A28" s="3" t="s">
        <v>630</v>
      </c>
      <c r="B28" s="3" t="s">
        <v>23</v>
      </c>
      <c r="C28" s="3" t="s">
        <v>25</v>
      </c>
      <c r="D28" s="3" t="s">
        <v>26</v>
      </c>
      <c r="E28" s="3">
        <v>2022</v>
      </c>
      <c r="F28" s="3" t="s">
        <v>27</v>
      </c>
      <c r="G28" s="3" t="s">
        <v>376</v>
      </c>
      <c r="H28" s="3" t="s">
        <v>24</v>
      </c>
      <c r="I28" s="3" t="s">
        <v>598</v>
      </c>
      <c r="J28" s="3" t="s">
        <v>148</v>
      </c>
      <c r="K28" s="3">
        <v>15</v>
      </c>
      <c r="L28" s="3" t="s">
        <v>34</v>
      </c>
      <c r="M28" s="3" t="s">
        <v>534</v>
      </c>
      <c r="N28" s="3" t="s">
        <v>721</v>
      </c>
      <c r="O28" s="3" t="s">
        <v>28</v>
      </c>
      <c r="P28" s="3">
        <v>57</v>
      </c>
      <c r="Q28" s="3" t="s">
        <v>71</v>
      </c>
      <c r="R28" s="3" t="s">
        <v>536</v>
      </c>
      <c r="S28" s="3" t="s">
        <v>535</v>
      </c>
      <c r="T28" s="3" t="s">
        <v>839</v>
      </c>
    </row>
    <row r="29" spans="1:20" ht="22" customHeight="1" x14ac:dyDescent="0.35">
      <c r="A29" s="3" t="s">
        <v>631</v>
      </c>
      <c r="B29" s="3" t="s">
        <v>80</v>
      </c>
      <c r="C29" s="3" t="s">
        <v>81</v>
      </c>
      <c r="D29" s="3" t="s">
        <v>82</v>
      </c>
      <c r="E29" s="3">
        <v>2021</v>
      </c>
      <c r="F29" s="3" t="s">
        <v>48</v>
      </c>
      <c r="G29" s="3" t="s">
        <v>376</v>
      </c>
      <c r="H29" s="3" t="s">
        <v>24</v>
      </c>
      <c r="I29" s="3" t="s">
        <v>597</v>
      </c>
      <c r="J29" s="3" t="s">
        <v>148</v>
      </c>
      <c r="K29" s="3">
        <v>15</v>
      </c>
      <c r="L29" s="3" t="s">
        <v>83</v>
      </c>
      <c r="M29" s="3" t="s">
        <v>696</v>
      </c>
      <c r="N29" s="3" t="s">
        <v>273</v>
      </c>
      <c r="O29" s="3" t="s">
        <v>84</v>
      </c>
      <c r="P29" s="3">
        <v>6</v>
      </c>
      <c r="Q29" s="3" t="s">
        <v>86</v>
      </c>
      <c r="R29" s="3" t="s">
        <v>549</v>
      </c>
      <c r="S29" s="3" t="s">
        <v>550</v>
      </c>
      <c r="T29" s="3" t="s">
        <v>839</v>
      </c>
    </row>
    <row r="30" spans="1:20" ht="22" customHeight="1" x14ac:dyDescent="0.35">
      <c r="A30" s="3" t="s">
        <v>657</v>
      </c>
      <c r="B30" s="3" t="s">
        <v>337</v>
      </c>
      <c r="C30" s="3" t="s">
        <v>338</v>
      </c>
      <c r="D30" s="3" t="s">
        <v>339</v>
      </c>
      <c r="E30" s="3">
        <v>2024</v>
      </c>
      <c r="F30" s="3" t="s">
        <v>340</v>
      </c>
      <c r="G30" s="3" t="s">
        <v>420</v>
      </c>
      <c r="H30" s="3" t="s">
        <v>102</v>
      </c>
      <c r="I30" s="3" t="s">
        <v>100</v>
      </c>
      <c r="J30" s="3" t="s">
        <v>565</v>
      </c>
      <c r="K30" s="3">
        <v>14</v>
      </c>
      <c r="L30" s="3" t="s">
        <v>610</v>
      </c>
      <c r="M30" s="3" t="s">
        <v>491</v>
      </c>
      <c r="N30" s="3" t="s">
        <v>821</v>
      </c>
      <c r="O30" s="3" t="s">
        <v>342</v>
      </c>
      <c r="P30" s="3">
        <v>90</v>
      </c>
      <c r="Q30" s="3" t="s">
        <v>341</v>
      </c>
      <c r="R30" s="3" t="s">
        <v>470</v>
      </c>
      <c r="S30" s="3" t="s">
        <v>469</v>
      </c>
      <c r="T30" s="3" t="s">
        <v>839</v>
      </c>
    </row>
    <row r="31" spans="1:20" ht="22" customHeight="1" x14ac:dyDescent="0.35">
      <c r="A31" s="3" t="s">
        <v>668</v>
      </c>
      <c r="B31" s="3" t="s">
        <v>11</v>
      </c>
      <c r="C31" s="3" t="s">
        <v>12</v>
      </c>
      <c r="D31" s="3" t="s">
        <v>14</v>
      </c>
      <c r="E31" s="3">
        <v>2024</v>
      </c>
      <c r="F31" s="3" t="s">
        <v>15</v>
      </c>
      <c r="G31" s="3" t="s">
        <v>377</v>
      </c>
      <c r="H31" s="3" t="s">
        <v>13</v>
      </c>
      <c r="I31" s="3" t="s">
        <v>571</v>
      </c>
      <c r="J31" s="3" t="s">
        <v>565</v>
      </c>
      <c r="K31" s="3">
        <v>14</v>
      </c>
      <c r="L31" s="35" t="s">
        <v>817</v>
      </c>
      <c r="M31" s="3" t="s">
        <v>685</v>
      </c>
      <c r="N31" s="3" t="s">
        <v>818</v>
      </c>
      <c r="O31" s="3" t="s">
        <v>19</v>
      </c>
      <c r="P31" s="3">
        <v>125</v>
      </c>
      <c r="Q31" s="3" t="s">
        <v>20</v>
      </c>
      <c r="R31" s="3" t="s">
        <v>33</v>
      </c>
      <c r="S31" s="3" t="s">
        <v>472</v>
      </c>
      <c r="T31" s="3" t="s">
        <v>838</v>
      </c>
    </row>
    <row r="32" spans="1:20" ht="22" customHeight="1" x14ac:dyDescent="0.35">
      <c r="A32" s="3" t="s">
        <v>632</v>
      </c>
      <c r="B32" s="3" t="s">
        <v>74</v>
      </c>
      <c r="C32" s="3" t="s">
        <v>75</v>
      </c>
      <c r="D32" s="3" t="s">
        <v>76</v>
      </c>
      <c r="E32" s="3">
        <v>2022</v>
      </c>
      <c r="F32" s="3" t="s">
        <v>77</v>
      </c>
      <c r="G32" s="3" t="s">
        <v>376</v>
      </c>
      <c r="H32" s="3" t="s">
        <v>24</v>
      </c>
      <c r="I32" s="3" t="s">
        <v>567</v>
      </c>
      <c r="J32" s="3" t="s">
        <v>148</v>
      </c>
      <c r="K32" s="3">
        <v>13</v>
      </c>
      <c r="L32" s="3" t="s">
        <v>718</v>
      </c>
      <c r="M32" s="3" t="s">
        <v>545</v>
      </c>
      <c r="N32" s="3" t="s">
        <v>128</v>
      </c>
      <c r="O32" s="3" t="s">
        <v>78</v>
      </c>
      <c r="P32" s="3">
        <v>47</v>
      </c>
      <c r="Q32" s="3" t="s">
        <v>79</v>
      </c>
      <c r="R32" s="3" t="s">
        <v>546</v>
      </c>
      <c r="S32" s="3" t="s">
        <v>547</v>
      </c>
      <c r="T32" s="3" t="s">
        <v>839</v>
      </c>
    </row>
    <row r="33" spans="1:20" ht="22" customHeight="1" x14ac:dyDescent="0.35">
      <c r="A33" s="3" t="s">
        <v>643</v>
      </c>
      <c r="B33" s="3" t="s">
        <v>255</v>
      </c>
      <c r="C33" s="3" t="s">
        <v>256</v>
      </c>
      <c r="D33" s="3" t="s">
        <v>257</v>
      </c>
      <c r="E33" s="3">
        <v>2019</v>
      </c>
      <c r="F33" s="3" t="s">
        <v>606</v>
      </c>
      <c r="G33" s="3" t="s">
        <v>375</v>
      </c>
      <c r="H33" s="3" t="s">
        <v>126</v>
      </c>
      <c r="I33" s="3" t="s">
        <v>586</v>
      </c>
      <c r="J33" s="3" t="s">
        <v>148</v>
      </c>
      <c r="K33" s="3">
        <v>12</v>
      </c>
      <c r="L33" s="3" t="s">
        <v>258</v>
      </c>
      <c r="M33" s="3" t="s">
        <v>699</v>
      </c>
      <c r="N33" s="3" t="s">
        <v>273</v>
      </c>
      <c r="O33" s="3" t="s">
        <v>259</v>
      </c>
      <c r="P33" s="3">
        <v>9</v>
      </c>
      <c r="Q33" s="3" t="s">
        <v>451</v>
      </c>
      <c r="R33" s="3" t="s">
        <v>452</v>
      </c>
      <c r="S33" s="3" t="s">
        <v>260</v>
      </c>
      <c r="T33" s="3" t="s">
        <v>838</v>
      </c>
    </row>
    <row r="34" spans="1:20" ht="22" customHeight="1" x14ac:dyDescent="0.35">
      <c r="A34" s="3" t="s">
        <v>633</v>
      </c>
      <c r="B34" s="3" t="s">
        <v>191</v>
      </c>
      <c r="C34" s="3" t="s">
        <v>192</v>
      </c>
      <c r="E34" s="3">
        <v>2022</v>
      </c>
      <c r="F34" s="3" t="s">
        <v>38</v>
      </c>
      <c r="G34" s="3" t="s">
        <v>376</v>
      </c>
      <c r="H34" s="3" t="s">
        <v>24</v>
      </c>
      <c r="I34" s="3" t="s">
        <v>195</v>
      </c>
      <c r="J34" s="3" t="s">
        <v>148</v>
      </c>
      <c r="K34" s="3">
        <v>11</v>
      </c>
      <c r="L34" s="3" t="s">
        <v>816</v>
      </c>
      <c r="M34" s="3" t="s">
        <v>697</v>
      </c>
      <c r="N34" s="3" t="s">
        <v>818</v>
      </c>
      <c r="O34" s="3" t="s">
        <v>197</v>
      </c>
      <c r="P34" s="3">
        <v>59</v>
      </c>
      <c r="Q34" s="3" t="s">
        <v>198</v>
      </c>
      <c r="R34" s="3" t="s">
        <v>554</v>
      </c>
      <c r="S34" s="3" t="s">
        <v>199</v>
      </c>
      <c r="T34" s="3" t="s">
        <v>839</v>
      </c>
    </row>
    <row r="35" spans="1:20" ht="22" customHeight="1" x14ac:dyDescent="0.35">
      <c r="A35" s="3" t="s">
        <v>658</v>
      </c>
      <c r="B35" s="3" t="s">
        <v>308</v>
      </c>
      <c r="C35" s="3" t="s">
        <v>309</v>
      </c>
      <c r="D35" s="3" t="s">
        <v>310</v>
      </c>
      <c r="E35" s="3">
        <v>2025</v>
      </c>
      <c r="F35" s="3" t="s">
        <v>110</v>
      </c>
      <c r="G35" s="3" t="s">
        <v>420</v>
      </c>
      <c r="H35" s="3" t="s">
        <v>102</v>
      </c>
      <c r="I35" s="3" t="s">
        <v>574</v>
      </c>
      <c r="J35" s="3" t="s">
        <v>565</v>
      </c>
      <c r="K35" s="3">
        <v>11</v>
      </c>
      <c r="L35" s="35" t="s">
        <v>611</v>
      </c>
      <c r="M35" s="3" t="s">
        <v>690</v>
      </c>
      <c r="N35" s="3" t="s">
        <v>721</v>
      </c>
      <c r="O35" s="3" t="s">
        <v>311</v>
      </c>
      <c r="P35" s="3">
        <v>50</v>
      </c>
      <c r="Q35" s="3" t="s">
        <v>312</v>
      </c>
      <c r="R35" s="3" t="s">
        <v>466</v>
      </c>
      <c r="S35" s="3" t="s">
        <v>319</v>
      </c>
      <c r="T35" s="3" t="s">
        <v>839</v>
      </c>
    </row>
    <row r="36" spans="1:20" ht="22" customHeight="1" x14ac:dyDescent="0.35">
      <c r="A36" s="3" t="s">
        <v>669</v>
      </c>
      <c r="B36" s="3" t="s">
        <v>205</v>
      </c>
      <c r="C36" s="3" t="s">
        <v>206</v>
      </c>
      <c r="D36" s="3" t="s">
        <v>207</v>
      </c>
      <c r="E36" s="3">
        <v>2025</v>
      </c>
      <c r="F36" s="3" t="s">
        <v>187</v>
      </c>
      <c r="G36" s="3" t="s">
        <v>377</v>
      </c>
      <c r="H36" s="3" t="s">
        <v>134</v>
      </c>
      <c r="I36" s="3" t="s">
        <v>577</v>
      </c>
      <c r="J36" s="3" t="s">
        <v>565</v>
      </c>
      <c r="K36" s="3">
        <v>9</v>
      </c>
      <c r="L36" s="3" t="s">
        <v>209</v>
      </c>
      <c r="M36" s="3" t="s">
        <v>693</v>
      </c>
      <c r="N36" s="3" t="s">
        <v>721</v>
      </c>
      <c r="O36" s="3" t="s">
        <v>210</v>
      </c>
      <c r="P36" s="3">
        <v>70</v>
      </c>
      <c r="Q36" s="3" t="s">
        <v>211</v>
      </c>
      <c r="R36" s="3" t="s">
        <v>212</v>
      </c>
      <c r="S36" s="3" t="s">
        <v>512</v>
      </c>
      <c r="T36" s="3" t="s">
        <v>839</v>
      </c>
    </row>
    <row r="37" spans="1:20" ht="22" customHeight="1" x14ac:dyDescent="0.35">
      <c r="A37" s="3" t="s">
        <v>634</v>
      </c>
      <c r="B37" s="3" t="s">
        <v>45</v>
      </c>
      <c r="C37" s="3" t="s">
        <v>46</v>
      </c>
      <c r="D37" s="3" t="s">
        <v>47</v>
      </c>
      <c r="E37" s="3">
        <v>2023</v>
      </c>
      <c r="F37" s="3" t="s">
        <v>48</v>
      </c>
      <c r="G37" s="3" t="s">
        <v>376</v>
      </c>
      <c r="H37" s="3" t="s">
        <v>24</v>
      </c>
      <c r="I37" s="3" t="s">
        <v>49</v>
      </c>
      <c r="J37" s="3" t="s">
        <v>148</v>
      </c>
      <c r="K37" s="3">
        <v>8</v>
      </c>
      <c r="L37" s="3" t="s">
        <v>50</v>
      </c>
      <c r="M37" s="3" t="s">
        <v>698</v>
      </c>
      <c r="N37" s="3" t="s">
        <v>273</v>
      </c>
      <c r="O37" s="3" t="s">
        <v>52</v>
      </c>
      <c r="P37" s="3">
        <v>10</v>
      </c>
      <c r="Q37" s="3" t="s">
        <v>53</v>
      </c>
      <c r="R37" s="3" t="s">
        <v>540</v>
      </c>
      <c r="S37" s="3" t="s">
        <v>54</v>
      </c>
      <c r="T37" s="3" t="s">
        <v>839</v>
      </c>
    </row>
    <row r="38" spans="1:20" ht="22" customHeight="1" x14ac:dyDescent="0.35">
      <c r="A38" s="3" t="s">
        <v>644</v>
      </c>
      <c r="B38" s="3" t="s">
        <v>145</v>
      </c>
      <c r="C38" s="3" t="s">
        <v>146</v>
      </c>
      <c r="D38" s="3" t="s">
        <v>147</v>
      </c>
      <c r="E38" s="3">
        <v>2019</v>
      </c>
      <c r="F38" s="3" t="s">
        <v>48</v>
      </c>
      <c r="G38" s="3" t="s">
        <v>375</v>
      </c>
      <c r="H38" s="3" t="s">
        <v>126</v>
      </c>
      <c r="I38" s="3" t="s">
        <v>588</v>
      </c>
      <c r="J38" s="3" t="s">
        <v>148</v>
      </c>
      <c r="K38" s="3">
        <v>7</v>
      </c>
      <c r="L38" s="3" t="s">
        <v>149</v>
      </c>
      <c r="M38" s="3" t="s">
        <v>700</v>
      </c>
      <c r="N38" s="3" t="s">
        <v>273</v>
      </c>
      <c r="O38" s="3" t="s">
        <v>441</v>
      </c>
      <c r="P38" s="3">
        <v>80</v>
      </c>
      <c r="Q38" s="3" t="s">
        <v>397</v>
      </c>
      <c r="R38" s="3" t="s">
        <v>563</v>
      </c>
      <c r="S38" s="3" t="s">
        <v>442</v>
      </c>
      <c r="T38" s="3" t="s">
        <v>839</v>
      </c>
    </row>
    <row r="39" spans="1:20" ht="22" customHeight="1" x14ac:dyDescent="0.35">
      <c r="A39" s="3" t="s">
        <v>670</v>
      </c>
      <c r="B39" s="3" t="s">
        <v>268</v>
      </c>
      <c r="C39" s="3" t="s">
        <v>269</v>
      </c>
      <c r="D39" s="3" t="s">
        <v>270</v>
      </c>
      <c r="E39" s="3">
        <v>2021</v>
      </c>
      <c r="F39" s="3" t="s">
        <v>216</v>
      </c>
      <c r="G39" s="3" t="s">
        <v>377</v>
      </c>
      <c r="H39" s="3" t="s">
        <v>271</v>
      </c>
      <c r="I39" s="3" t="s">
        <v>600</v>
      </c>
      <c r="J39" s="3" t="s">
        <v>148</v>
      </c>
      <c r="K39" s="3">
        <v>7</v>
      </c>
      <c r="L39" s="3" t="s">
        <v>272</v>
      </c>
      <c r="M39" s="3" t="s">
        <v>712</v>
      </c>
      <c r="N39" s="3" t="s">
        <v>273</v>
      </c>
      <c r="O39" s="3" t="s">
        <v>275</v>
      </c>
      <c r="P39" s="3">
        <v>30</v>
      </c>
      <c r="Q39" s="3" t="s">
        <v>276</v>
      </c>
      <c r="R39" s="3" t="s">
        <v>519</v>
      </c>
      <c r="S39" s="3" t="s">
        <v>520</v>
      </c>
      <c r="T39" s="3" t="s">
        <v>838</v>
      </c>
    </row>
    <row r="40" spans="1:20" ht="22" customHeight="1" x14ac:dyDescent="0.35">
      <c r="A40" s="3" t="s">
        <v>645</v>
      </c>
      <c r="B40" s="3" t="s">
        <v>322</v>
      </c>
      <c r="C40" s="3" t="s">
        <v>323</v>
      </c>
      <c r="D40" s="3" t="s">
        <v>324</v>
      </c>
      <c r="E40" s="3">
        <v>2021</v>
      </c>
      <c r="F40" s="3" t="s">
        <v>48</v>
      </c>
      <c r="G40" s="3" t="s">
        <v>375</v>
      </c>
      <c r="H40" s="3" t="s">
        <v>126</v>
      </c>
      <c r="I40" s="3" t="s">
        <v>592</v>
      </c>
      <c r="J40" s="3" t="s">
        <v>148</v>
      </c>
      <c r="K40" s="3">
        <v>6</v>
      </c>
      <c r="L40" s="3" t="s">
        <v>325</v>
      </c>
      <c r="M40" s="3" t="s">
        <v>710</v>
      </c>
      <c r="N40" s="3" t="s">
        <v>721</v>
      </c>
      <c r="O40" s="3" t="s">
        <v>326</v>
      </c>
      <c r="P40" s="3">
        <v>30</v>
      </c>
      <c r="Q40" s="3" t="s">
        <v>328</v>
      </c>
      <c r="R40" s="3" t="s">
        <v>457</v>
      </c>
      <c r="S40" s="3" t="s">
        <v>327</v>
      </c>
      <c r="T40" s="3" t="s">
        <v>839</v>
      </c>
    </row>
    <row r="41" spans="1:20" ht="22" customHeight="1" x14ac:dyDescent="0.35">
      <c r="A41" s="3" t="s">
        <v>895</v>
      </c>
      <c r="B41" s="3" t="s">
        <v>858</v>
      </c>
      <c r="C41" s="3" t="s">
        <v>859</v>
      </c>
      <c r="D41" s="3" t="s">
        <v>860</v>
      </c>
      <c r="E41" s="1">
        <v>2026</v>
      </c>
      <c r="F41" s="3" t="s">
        <v>57</v>
      </c>
      <c r="G41" s="3" t="s">
        <v>378</v>
      </c>
      <c r="H41" s="3" t="s">
        <v>102</v>
      </c>
      <c r="I41" s="3" t="s">
        <v>861</v>
      </c>
      <c r="J41" s="3" t="s">
        <v>565</v>
      </c>
      <c r="K41" s="3">
        <v>6</v>
      </c>
      <c r="L41" s="35" t="s">
        <v>862</v>
      </c>
      <c r="M41" s="3" t="s">
        <v>866</v>
      </c>
      <c r="N41" s="3" t="s">
        <v>273</v>
      </c>
      <c r="O41" s="3" t="s">
        <v>863</v>
      </c>
      <c r="P41" s="3">
        <v>20</v>
      </c>
      <c r="S41" s="3" t="s">
        <v>867</v>
      </c>
    </row>
    <row r="42" spans="1:20" ht="22" customHeight="1" x14ac:dyDescent="0.35">
      <c r="A42" s="3" t="s">
        <v>646</v>
      </c>
      <c r="B42" s="3" t="s">
        <v>285</v>
      </c>
      <c r="C42" s="3" t="s">
        <v>286</v>
      </c>
      <c r="D42" s="3" t="s">
        <v>287</v>
      </c>
      <c r="E42" s="3">
        <v>2023</v>
      </c>
      <c r="F42" s="3" t="s">
        <v>163</v>
      </c>
      <c r="G42" s="3" t="s">
        <v>375</v>
      </c>
      <c r="H42" s="3" t="s">
        <v>126</v>
      </c>
      <c r="I42" s="3" t="s">
        <v>601</v>
      </c>
      <c r="J42" s="3" t="s">
        <v>148</v>
      </c>
      <c r="K42" s="3">
        <v>4</v>
      </c>
      <c r="L42" s="3" t="s">
        <v>288</v>
      </c>
      <c r="M42" s="3" t="s">
        <v>502</v>
      </c>
      <c r="N42" s="3" t="s">
        <v>818</v>
      </c>
      <c r="O42" s="3" t="s">
        <v>291</v>
      </c>
      <c r="P42" s="3">
        <v>106</v>
      </c>
      <c r="Q42" s="3" t="s">
        <v>290</v>
      </c>
      <c r="R42" s="3" t="s">
        <v>454</v>
      </c>
      <c r="S42" s="3" t="s">
        <v>293</v>
      </c>
      <c r="T42" s="3" t="s">
        <v>838</v>
      </c>
    </row>
    <row r="43" spans="1:20" ht="22" customHeight="1" x14ac:dyDescent="0.35">
      <c r="A43" s="3" t="s">
        <v>659</v>
      </c>
      <c r="B43" s="3" t="s">
        <v>352</v>
      </c>
      <c r="C43" s="3" t="s">
        <v>353</v>
      </c>
      <c r="D43" s="3" t="s">
        <v>354</v>
      </c>
      <c r="E43" s="3">
        <v>2025</v>
      </c>
      <c r="F43" s="3" t="s">
        <v>280</v>
      </c>
      <c r="G43" s="3" t="s">
        <v>420</v>
      </c>
      <c r="H43" s="3" t="s">
        <v>102</v>
      </c>
      <c r="I43" s="3" t="s">
        <v>580</v>
      </c>
      <c r="J43" s="3" t="s">
        <v>565</v>
      </c>
      <c r="K43" s="3">
        <v>4</v>
      </c>
      <c r="L43" s="3" t="s">
        <v>355</v>
      </c>
      <c r="M43" s="3" t="s">
        <v>702</v>
      </c>
      <c r="N43" s="3" t="s">
        <v>820</v>
      </c>
      <c r="O43" s="3" t="s">
        <v>356</v>
      </c>
      <c r="P43" s="3">
        <v>32</v>
      </c>
      <c r="Q43" s="3" t="s">
        <v>357</v>
      </c>
      <c r="R43" s="3" t="s">
        <v>471</v>
      </c>
      <c r="S43" s="3" t="s">
        <v>358</v>
      </c>
      <c r="T43" s="3" t="s">
        <v>838</v>
      </c>
    </row>
    <row r="44" spans="1:20" ht="22" customHeight="1" x14ac:dyDescent="0.35">
      <c r="A44" s="3" t="s">
        <v>647</v>
      </c>
      <c r="B44" s="3" t="s">
        <v>176</v>
      </c>
      <c r="C44" s="3" t="s">
        <v>177</v>
      </c>
      <c r="D44" s="3" t="s">
        <v>178</v>
      </c>
      <c r="E44" s="3">
        <v>2024</v>
      </c>
      <c r="F44" s="3" t="s">
        <v>110</v>
      </c>
      <c r="G44" s="3" t="s">
        <v>375</v>
      </c>
      <c r="H44" s="3" t="s">
        <v>126</v>
      </c>
      <c r="I44" s="3" t="s">
        <v>603</v>
      </c>
      <c r="J44" s="3" t="s">
        <v>148</v>
      </c>
      <c r="K44" s="3">
        <v>3</v>
      </c>
      <c r="L44" s="3" t="s">
        <v>180</v>
      </c>
      <c r="M44" s="3" t="s">
        <v>701</v>
      </c>
      <c r="N44" s="3" t="s">
        <v>818</v>
      </c>
      <c r="O44" s="3" t="s">
        <v>179</v>
      </c>
      <c r="P44" s="3">
        <v>67</v>
      </c>
      <c r="Q44" s="3" t="s">
        <v>183</v>
      </c>
      <c r="R44" s="3" t="s">
        <v>525</v>
      </c>
      <c r="S44" s="3" t="s">
        <v>182</v>
      </c>
      <c r="T44" s="3" t="s">
        <v>839</v>
      </c>
    </row>
    <row r="45" spans="1:20" ht="22" customHeight="1" x14ac:dyDescent="0.35">
      <c r="A45" s="3" t="s">
        <v>648</v>
      </c>
      <c r="B45" s="3" t="s">
        <v>405</v>
      </c>
      <c r="C45" s="3" t="s">
        <v>406</v>
      </c>
      <c r="D45" s="3" t="s">
        <v>407</v>
      </c>
      <c r="E45" s="3">
        <v>2025</v>
      </c>
      <c r="F45" s="3" t="s">
        <v>408</v>
      </c>
      <c r="G45" s="3" t="s">
        <v>375</v>
      </c>
      <c r="H45" s="3" t="s">
        <v>126</v>
      </c>
      <c r="I45" s="3" t="s">
        <v>593</v>
      </c>
      <c r="J45" s="3" t="s">
        <v>565</v>
      </c>
      <c r="K45" s="3">
        <v>3</v>
      </c>
      <c r="L45" s="3" t="s">
        <v>409</v>
      </c>
      <c r="M45" s="3" t="s">
        <v>509</v>
      </c>
      <c r="N45" s="3" t="s">
        <v>721</v>
      </c>
      <c r="O45" s="3" t="s">
        <v>410</v>
      </c>
      <c r="P45" s="3">
        <v>50</v>
      </c>
      <c r="Q45" s="3" t="s">
        <v>413</v>
      </c>
      <c r="R45" s="3" t="s">
        <v>444</v>
      </c>
      <c r="S45" s="3" t="s">
        <v>414</v>
      </c>
      <c r="T45" s="3" t="s">
        <v>839</v>
      </c>
    </row>
    <row r="46" spans="1:20" ht="22" customHeight="1" x14ac:dyDescent="0.35">
      <c r="A46" s="3" t="s">
        <v>649</v>
      </c>
      <c r="B46" s="3" t="s">
        <v>294</v>
      </c>
      <c r="C46" s="3" t="s">
        <v>296</v>
      </c>
      <c r="D46" s="3" t="s">
        <v>297</v>
      </c>
      <c r="E46" s="3">
        <v>2020</v>
      </c>
      <c r="F46" s="3" t="s">
        <v>48</v>
      </c>
      <c r="G46" s="3" t="s">
        <v>375</v>
      </c>
      <c r="H46" s="3" t="s">
        <v>126</v>
      </c>
      <c r="I46" s="3" t="s">
        <v>594</v>
      </c>
      <c r="J46" s="3" t="s">
        <v>148</v>
      </c>
      <c r="K46" s="3">
        <v>2</v>
      </c>
      <c r="L46" s="3" t="s">
        <v>295</v>
      </c>
      <c r="M46" s="3" t="s">
        <v>682</v>
      </c>
      <c r="N46" s="3" t="s">
        <v>820</v>
      </c>
      <c r="O46" s="3" t="s">
        <v>299</v>
      </c>
      <c r="P46" s="3">
        <v>50</v>
      </c>
      <c r="Q46" s="3" t="s">
        <v>298</v>
      </c>
      <c r="R46" s="3" t="s">
        <v>455</v>
      </c>
      <c r="S46" s="3" t="s">
        <v>300</v>
      </c>
      <c r="T46" s="3" t="s">
        <v>838</v>
      </c>
    </row>
    <row r="47" spans="1:20" ht="22" customHeight="1" x14ac:dyDescent="0.35">
      <c r="A47" s="3" t="s">
        <v>650</v>
      </c>
      <c r="B47" s="3" t="s">
        <v>359</v>
      </c>
      <c r="C47" s="3" t="s">
        <v>361</v>
      </c>
      <c r="D47" s="3" t="s">
        <v>362</v>
      </c>
      <c r="E47" s="3">
        <v>2023</v>
      </c>
      <c r="F47" s="3" t="s">
        <v>363</v>
      </c>
      <c r="G47" s="3" t="s">
        <v>375</v>
      </c>
      <c r="H47" s="3" t="s">
        <v>126</v>
      </c>
      <c r="I47" s="3" t="s">
        <v>364</v>
      </c>
      <c r="J47" s="3" t="s">
        <v>148</v>
      </c>
      <c r="K47" s="3">
        <v>2</v>
      </c>
      <c r="L47" s="3" t="s">
        <v>360</v>
      </c>
      <c r="M47" s="3" t="s">
        <v>498</v>
      </c>
      <c r="N47" s="3" t="s">
        <v>721</v>
      </c>
      <c r="O47" s="3" t="s">
        <v>365</v>
      </c>
      <c r="P47" s="3">
        <v>25</v>
      </c>
      <c r="Q47" s="3" t="s">
        <v>366</v>
      </c>
      <c r="R47" s="3" t="s">
        <v>459</v>
      </c>
      <c r="S47" s="3" t="s">
        <v>367</v>
      </c>
      <c r="T47" s="3" t="s">
        <v>839</v>
      </c>
    </row>
    <row r="48" spans="1:20" ht="22" customHeight="1" x14ac:dyDescent="0.35">
      <c r="A48" s="3" t="s">
        <v>635</v>
      </c>
      <c r="B48" s="3" t="s">
        <v>388</v>
      </c>
      <c r="C48" s="3" t="s">
        <v>389</v>
      </c>
      <c r="D48" s="3" t="s">
        <v>390</v>
      </c>
      <c r="E48" s="3">
        <v>2025</v>
      </c>
      <c r="F48" s="3" t="s">
        <v>391</v>
      </c>
      <c r="G48" s="3" t="s">
        <v>376</v>
      </c>
      <c r="H48" s="3" t="s">
        <v>24</v>
      </c>
      <c r="I48" s="3" t="s">
        <v>596</v>
      </c>
      <c r="J48" s="3" t="s">
        <v>568</v>
      </c>
      <c r="K48" s="3">
        <v>1</v>
      </c>
      <c r="L48" s="3" t="s">
        <v>392</v>
      </c>
      <c r="M48" s="3" t="s">
        <v>687</v>
      </c>
      <c r="N48" s="3" t="s">
        <v>818</v>
      </c>
      <c r="O48" s="3" t="s">
        <v>393</v>
      </c>
      <c r="P48" s="3">
        <v>46</v>
      </c>
      <c r="Q48" s="3" t="s">
        <v>394</v>
      </c>
      <c r="R48" s="3" t="s">
        <v>544</v>
      </c>
      <c r="S48" s="3" t="s">
        <v>395</v>
      </c>
      <c r="T48" s="3" t="s">
        <v>839</v>
      </c>
    </row>
    <row r="49" spans="1:24" ht="22" customHeight="1" x14ac:dyDescent="0.35">
      <c r="A49" s="3" t="s">
        <v>651</v>
      </c>
      <c r="B49" s="3" t="s">
        <v>213</v>
      </c>
      <c r="C49" s="3" t="s">
        <v>214</v>
      </c>
      <c r="D49" s="3" t="s">
        <v>215</v>
      </c>
      <c r="E49" s="3">
        <v>2025</v>
      </c>
      <c r="F49" s="3" t="s">
        <v>216</v>
      </c>
      <c r="G49" s="3" t="s">
        <v>375</v>
      </c>
      <c r="H49" s="3" t="s">
        <v>126</v>
      </c>
      <c r="I49" s="3" t="s">
        <v>590</v>
      </c>
      <c r="J49" s="3" t="s">
        <v>148</v>
      </c>
      <c r="K49" s="3">
        <v>0</v>
      </c>
      <c r="L49" s="3" t="s">
        <v>217</v>
      </c>
      <c r="M49" s="3" t="s">
        <v>683</v>
      </c>
      <c r="N49" s="3" t="s">
        <v>721</v>
      </c>
      <c r="O49" s="3" t="s">
        <v>219</v>
      </c>
      <c r="P49" s="3">
        <v>98</v>
      </c>
      <c r="Q49" s="3" t="s">
        <v>218</v>
      </c>
      <c r="R49" s="3" t="s">
        <v>443</v>
      </c>
      <c r="S49" s="3" t="s">
        <v>398</v>
      </c>
      <c r="T49" s="3" t="s">
        <v>839</v>
      </c>
    </row>
    <row r="50" spans="1:24" ht="22" customHeight="1" x14ac:dyDescent="0.35">
      <c r="A50" s="3" t="s">
        <v>652</v>
      </c>
      <c r="B50" s="3" t="s">
        <v>343</v>
      </c>
      <c r="C50" s="3" t="s">
        <v>344</v>
      </c>
      <c r="D50" s="3" t="s">
        <v>345</v>
      </c>
      <c r="E50" s="3">
        <v>2023</v>
      </c>
      <c r="F50" s="3" t="s">
        <v>346</v>
      </c>
      <c r="G50" s="3" t="s">
        <v>375</v>
      </c>
      <c r="H50" s="3" t="s">
        <v>126</v>
      </c>
      <c r="I50" s="3" t="s">
        <v>591</v>
      </c>
      <c r="J50" s="3" t="s">
        <v>148</v>
      </c>
      <c r="K50" s="3">
        <v>0</v>
      </c>
      <c r="L50" s="3" t="s">
        <v>347</v>
      </c>
      <c r="M50" s="3" t="s">
        <v>499</v>
      </c>
      <c r="N50" s="3" t="s">
        <v>721</v>
      </c>
      <c r="O50" s="3" t="s">
        <v>349</v>
      </c>
      <c r="P50" s="3">
        <v>97</v>
      </c>
      <c r="Q50" s="3" t="s">
        <v>350</v>
      </c>
      <c r="R50" s="3" t="s">
        <v>458</v>
      </c>
      <c r="S50" s="3" t="s">
        <v>351</v>
      </c>
      <c r="T50" s="3" t="s">
        <v>839</v>
      </c>
    </row>
    <row r="51" spans="1:24" ht="22" customHeight="1" x14ac:dyDescent="0.35">
      <c r="A51" s="3" t="s">
        <v>660</v>
      </c>
      <c r="B51" s="3" t="s">
        <v>379</v>
      </c>
      <c r="C51" s="3" t="s">
        <v>380</v>
      </c>
      <c r="D51" s="3" t="s">
        <v>381</v>
      </c>
      <c r="E51" s="3">
        <v>2025</v>
      </c>
      <c r="F51" s="3" t="s">
        <v>382</v>
      </c>
      <c r="G51" s="3" t="s">
        <v>420</v>
      </c>
      <c r="H51" s="3" t="s">
        <v>102</v>
      </c>
      <c r="I51" s="3" t="s">
        <v>582</v>
      </c>
      <c r="J51" s="3" t="s">
        <v>565</v>
      </c>
      <c r="K51" s="3">
        <v>0</v>
      </c>
      <c r="L51" s="3" t="s">
        <v>383</v>
      </c>
      <c r="M51" s="3" t="s">
        <v>703</v>
      </c>
      <c r="N51" s="3" t="s">
        <v>818</v>
      </c>
      <c r="O51" s="3" t="s">
        <v>384</v>
      </c>
      <c r="P51" s="3">
        <v>14</v>
      </c>
      <c r="Q51" s="3" t="s">
        <v>386</v>
      </c>
      <c r="R51" s="3" t="s">
        <v>467</v>
      </c>
      <c r="S51" s="3" t="s">
        <v>387</v>
      </c>
      <c r="T51" s="3" t="s">
        <v>839</v>
      </c>
    </row>
    <row r="52" spans="1:24" s="4" customFormat="1" ht="22" customHeight="1" x14ac:dyDescent="0.35">
      <c r="A52" s="3" t="s">
        <v>671</v>
      </c>
      <c r="B52" s="3" t="s">
        <v>159</v>
      </c>
      <c r="C52" s="3" t="s">
        <v>160</v>
      </c>
      <c r="D52" s="3" t="s">
        <v>161</v>
      </c>
      <c r="E52" s="3">
        <v>2026</v>
      </c>
      <c r="F52" s="3" t="s">
        <v>163</v>
      </c>
      <c r="G52" s="3" t="s">
        <v>377</v>
      </c>
      <c r="H52" s="3" t="s">
        <v>164</v>
      </c>
      <c r="I52" s="3" t="s">
        <v>162</v>
      </c>
      <c r="J52" s="3" t="s">
        <v>565</v>
      </c>
      <c r="K52" s="3">
        <v>0</v>
      </c>
      <c r="L52" s="3" t="s">
        <v>165</v>
      </c>
      <c r="M52" s="3" t="s">
        <v>694</v>
      </c>
      <c r="N52" s="3" t="s">
        <v>818</v>
      </c>
      <c r="O52" s="3" t="s">
        <v>166</v>
      </c>
      <c r="P52" s="3">
        <v>40</v>
      </c>
      <c r="Q52" s="3" t="s">
        <v>167</v>
      </c>
      <c r="R52" s="35" t="s">
        <v>484</v>
      </c>
      <c r="S52" s="3" t="s">
        <v>483</v>
      </c>
      <c r="T52" s="3" t="s">
        <v>839</v>
      </c>
      <c r="U52" s="3"/>
      <c r="V52" s="3"/>
      <c r="W52" s="3"/>
      <c r="X52" s="3"/>
    </row>
    <row r="53" spans="1:24" ht="22" customHeight="1" x14ac:dyDescent="0.35">
      <c r="A53" s="3" t="s">
        <v>672</v>
      </c>
      <c r="B53" s="3" t="s">
        <v>184</v>
      </c>
      <c r="C53" s="3" t="s">
        <v>185</v>
      </c>
      <c r="D53" s="3" t="s">
        <v>186</v>
      </c>
      <c r="E53" s="3">
        <v>2024</v>
      </c>
      <c r="F53" s="3" t="s">
        <v>187</v>
      </c>
      <c r="G53" s="3" t="s">
        <v>377</v>
      </c>
      <c r="H53" s="3" t="s">
        <v>134</v>
      </c>
      <c r="I53" s="3" t="s">
        <v>570</v>
      </c>
      <c r="J53" s="3" t="s">
        <v>148</v>
      </c>
      <c r="K53" s="3">
        <v>0</v>
      </c>
      <c r="L53" s="3" t="s">
        <v>188</v>
      </c>
      <c r="M53" s="3" t="s">
        <v>675</v>
      </c>
      <c r="N53" s="3" t="s">
        <v>820</v>
      </c>
      <c r="O53" s="3" t="s">
        <v>189</v>
      </c>
      <c r="P53" s="3">
        <v>8</v>
      </c>
      <c r="Q53" s="3" t="s">
        <v>190</v>
      </c>
      <c r="R53" s="3" t="s">
        <v>487</v>
      </c>
      <c r="S53" s="3" t="s">
        <v>488</v>
      </c>
      <c r="T53" s="3" t="s">
        <v>839</v>
      </c>
    </row>
    <row r="54" spans="1:24" ht="22" customHeight="1" x14ac:dyDescent="0.35">
      <c r="A54" s="3" t="s">
        <v>629</v>
      </c>
      <c r="B54" s="3" t="s">
        <v>425</v>
      </c>
      <c r="C54" s="3" t="s">
        <v>427</v>
      </c>
      <c r="D54" s="3" t="s">
        <v>426</v>
      </c>
      <c r="E54" s="3">
        <v>2025</v>
      </c>
      <c r="F54" s="42" t="s">
        <v>391</v>
      </c>
      <c r="G54" s="3" t="s">
        <v>377</v>
      </c>
      <c r="H54" s="3" t="s">
        <v>134</v>
      </c>
      <c r="I54" s="3" t="s">
        <v>585</v>
      </c>
      <c r="J54" s="3" t="s">
        <v>148</v>
      </c>
      <c r="K54" s="3">
        <v>0</v>
      </c>
      <c r="L54" s="3" t="s">
        <v>428</v>
      </c>
      <c r="M54" s="3" t="s">
        <v>695</v>
      </c>
      <c r="N54" s="3" t="s">
        <v>814</v>
      </c>
      <c r="O54" s="3" t="s">
        <v>429</v>
      </c>
      <c r="P54" s="3">
        <v>25</v>
      </c>
      <c r="Q54" s="3" t="s">
        <v>430</v>
      </c>
      <c r="R54" s="3" t="s">
        <v>516</v>
      </c>
      <c r="S54" s="3" t="s">
        <v>517</v>
      </c>
      <c r="T54" s="3" t="s">
        <v>839</v>
      </c>
    </row>
    <row r="55" spans="1:24" ht="22" customHeight="1" x14ac:dyDescent="0.35">
      <c r="A55" s="3" t="s">
        <v>896</v>
      </c>
      <c r="B55" s="3" t="s">
        <v>868</v>
      </c>
      <c r="C55" t="s">
        <v>869</v>
      </c>
      <c r="D55" t="s">
        <v>870</v>
      </c>
      <c r="E55" s="1">
        <v>2026</v>
      </c>
      <c r="F55" s="3" t="s">
        <v>606</v>
      </c>
      <c r="G55" s="3" t="s">
        <v>377</v>
      </c>
      <c r="H55" s="3" t="s">
        <v>605</v>
      </c>
      <c r="I55" s="3" t="s">
        <v>900</v>
      </c>
      <c r="J55" s="3" t="s">
        <v>565</v>
      </c>
      <c r="K55" s="3">
        <v>0</v>
      </c>
      <c r="L55" s="3" t="s">
        <v>871</v>
      </c>
      <c r="M55" s="3" t="s">
        <v>872</v>
      </c>
      <c r="N55" s="3" t="s">
        <v>814</v>
      </c>
      <c r="O55" s="3" t="s">
        <v>873</v>
      </c>
      <c r="P55" s="3">
        <v>40</v>
      </c>
      <c r="S55" s="3" t="s">
        <v>876</v>
      </c>
      <c r="T55" s="3" t="s">
        <v>839</v>
      </c>
    </row>
    <row r="56" spans="1:24" ht="22" customHeight="1" x14ac:dyDescent="0.35">
      <c r="A56" s="3" t="s">
        <v>897</v>
      </c>
      <c r="B56" s="3" t="s">
        <v>877</v>
      </c>
      <c r="C56" s="3" t="s">
        <v>878</v>
      </c>
      <c r="D56" s="3" t="s">
        <v>879</v>
      </c>
      <c r="E56" s="1">
        <v>2026</v>
      </c>
      <c r="F56" s="3" t="s">
        <v>38</v>
      </c>
      <c r="G56" s="3" t="s">
        <v>377</v>
      </c>
      <c r="H56" s="3" t="s">
        <v>605</v>
      </c>
      <c r="I56" s="3" t="s">
        <v>578</v>
      </c>
      <c r="J56" s="3" t="s">
        <v>565</v>
      </c>
      <c r="K56" s="3">
        <v>0</v>
      </c>
      <c r="L56" s="3" t="s">
        <v>880</v>
      </c>
      <c r="M56" s="3" t="s">
        <v>881</v>
      </c>
      <c r="N56" s="3" t="s">
        <v>821</v>
      </c>
      <c r="O56" s="3" t="s">
        <v>882</v>
      </c>
      <c r="P56" s="3">
        <v>7</v>
      </c>
      <c r="S56" s="3" t="s">
        <v>884</v>
      </c>
      <c r="T56" s="3" t="s">
        <v>839</v>
      </c>
    </row>
    <row r="57" spans="1:24" ht="22" customHeight="1" x14ac:dyDescent="0.35">
      <c r="A57" s="3" t="s">
        <v>898</v>
      </c>
      <c r="B57" s="3" t="s">
        <v>885</v>
      </c>
      <c r="C57" s="3" t="s">
        <v>886</v>
      </c>
      <c r="D57" s="3" t="s">
        <v>887</v>
      </c>
      <c r="E57" s="1">
        <v>2026</v>
      </c>
      <c r="F57" s="3" t="s">
        <v>57</v>
      </c>
      <c r="G57" s="3" t="s">
        <v>375</v>
      </c>
      <c r="H57" s="3" t="s">
        <v>126</v>
      </c>
      <c r="I57" t="s">
        <v>888</v>
      </c>
      <c r="J57" s="3" t="s">
        <v>565</v>
      </c>
      <c r="K57" s="3">
        <v>0</v>
      </c>
      <c r="L57" s="3" t="s">
        <v>889</v>
      </c>
      <c r="M57" s="3" t="s">
        <v>890</v>
      </c>
      <c r="N57" s="3" t="s">
        <v>273</v>
      </c>
      <c r="O57" s="3" t="s">
        <v>906</v>
      </c>
      <c r="P57" s="3">
        <v>44</v>
      </c>
      <c r="R57" s="35" t="s">
        <v>903</v>
      </c>
      <c r="T57" s="3" t="s">
        <v>839</v>
      </c>
    </row>
    <row r="58" spans="1:24" ht="22" customHeight="1" x14ac:dyDescent="0.35">
      <c r="A58" s="3" t="s">
        <v>899</v>
      </c>
      <c r="B58" s="3" t="s">
        <v>891</v>
      </c>
      <c r="C58" s="3" t="s">
        <v>892</v>
      </c>
      <c r="D58" s="3" t="s">
        <v>893</v>
      </c>
      <c r="E58" s="1">
        <v>2026</v>
      </c>
      <c r="F58" s="3" t="s">
        <v>153</v>
      </c>
      <c r="G58" s="3" t="s">
        <v>375</v>
      </c>
      <c r="H58" s="3" t="s">
        <v>126</v>
      </c>
      <c r="I58" s="3" t="s">
        <v>593</v>
      </c>
      <c r="J58" s="3" t="s">
        <v>565</v>
      </c>
      <c r="K58" s="3">
        <v>0</v>
      </c>
      <c r="L58" s="3" t="s">
        <v>894</v>
      </c>
      <c r="M58" s="3" t="s">
        <v>901</v>
      </c>
      <c r="N58" s="3" t="s">
        <v>721</v>
      </c>
      <c r="O58" s="3" t="s">
        <v>902</v>
      </c>
      <c r="P58" s="3">
        <v>30</v>
      </c>
      <c r="R58" s="3" t="s">
        <v>907</v>
      </c>
      <c r="S58" s="3" t="s">
        <v>908</v>
      </c>
      <c r="T58" s="3" t="s">
        <v>839</v>
      </c>
    </row>
  </sheetData>
  <autoFilter ref="A1:AC53" xr:uid="{E9ED9168-D161-4B37-9D00-DA0C118BA8ED}">
    <sortState xmlns:xlrd2="http://schemas.microsoft.com/office/spreadsheetml/2017/richdata2" ref="A2:X58">
      <sortCondition descending="1" ref="K1:K53"/>
    </sortState>
  </autoFilter>
  <phoneticPr fontId="3" type="noConversion"/>
  <conditionalFormatting sqref="U1">
    <cfRule type="iconSet" priority="4">
      <iconSet iconSet="3Symbols2">
        <cfvo type="percent" val="0"/>
        <cfvo type="percent" val="33"/>
        <cfvo type="percent" val="67"/>
      </iconSet>
    </cfRule>
  </conditionalFormatting>
  <conditionalFormatting sqref="U1:X1">
    <cfRule type="iconSet" priority="6">
      <iconSet iconSet="3Symbols2">
        <cfvo type="percent" val="0"/>
        <cfvo type="percent" val="33"/>
        <cfvo type="percent" val="67"/>
      </iconSet>
    </cfRule>
  </conditionalFormatting>
  <conditionalFormatting sqref="V1">
    <cfRule type="iconSet" priority="3">
      <iconSet iconSet="3Symbols2">
        <cfvo type="percent" val="0"/>
        <cfvo type="percent" val="33"/>
        <cfvo type="percent" val="67"/>
      </iconSet>
    </cfRule>
  </conditionalFormatting>
  <conditionalFormatting sqref="W1">
    <cfRule type="iconSet" priority="2">
      <iconSet iconSet="3Symbols2">
        <cfvo type="percent" val="0"/>
        <cfvo type="percent" val="33"/>
        <cfvo type="percent" val="67"/>
      </iconSet>
    </cfRule>
  </conditionalFormatting>
  <conditionalFormatting sqref="X1">
    <cfRule type="iconSet" priority="1">
      <iconSet iconSet="3Symbols2">
        <cfvo type="percent" val="0"/>
        <cfvo type="percent" val="33"/>
        <cfvo type="percent" val="67"/>
      </iconSet>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2375A-67B7-448A-B5FC-9961CDFCEB88}">
  <sheetPr>
    <tabColor theme="5"/>
  </sheetPr>
  <dimension ref="A1:H58"/>
  <sheetViews>
    <sheetView topLeftCell="A44" workbookViewId="0">
      <selection activeCell="G53" sqref="G53"/>
    </sheetView>
  </sheetViews>
  <sheetFormatPr defaultRowHeight="14.5" x14ac:dyDescent="0.35"/>
  <cols>
    <col min="3" max="3" width="9.90625" customWidth="1"/>
    <col min="5" max="5" width="9.1796875" customWidth="1"/>
    <col min="7" max="7" width="11.90625" customWidth="1"/>
    <col min="8" max="8" width="12" customWidth="1"/>
  </cols>
  <sheetData>
    <row r="1" spans="1:8" x14ac:dyDescent="0.35">
      <c r="A1" s="25" t="s">
        <v>16</v>
      </c>
      <c r="B1" s="22" t="s">
        <v>955</v>
      </c>
      <c r="C1" s="22" t="s">
        <v>956</v>
      </c>
      <c r="D1" s="22" t="s">
        <v>957</v>
      </c>
      <c r="E1" s="22" t="s">
        <v>958</v>
      </c>
      <c r="F1" s="24" t="s">
        <v>423</v>
      </c>
      <c r="G1" s="24"/>
      <c r="H1" s="24"/>
    </row>
    <row r="2" spans="1:8" x14ac:dyDescent="0.35">
      <c r="A2" s="3" t="s">
        <v>630</v>
      </c>
      <c r="B2" s="3">
        <v>1</v>
      </c>
      <c r="C2" s="3">
        <v>1</v>
      </c>
      <c r="D2" s="3">
        <v>1</v>
      </c>
      <c r="E2" s="3">
        <v>1</v>
      </c>
      <c r="F2" s="3">
        <f>SUM(B2:E2)</f>
        <v>4</v>
      </c>
      <c r="G2" s="3"/>
      <c r="H2" s="3"/>
    </row>
    <row r="3" spans="1:8" x14ac:dyDescent="0.35">
      <c r="A3" s="3" t="s">
        <v>623</v>
      </c>
      <c r="B3" s="3">
        <v>1</v>
      </c>
      <c r="C3" s="3">
        <v>1</v>
      </c>
      <c r="D3" s="3">
        <v>1</v>
      </c>
      <c r="E3" s="3">
        <v>1</v>
      </c>
      <c r="F3" s="3">
        <f t="shared" ref="F3:F58" si="0">SUM(B3:E3)</f>
        <v>4</v>
      </c>
      <c r="G3" s="3"/>
      <c r="H3" s="3"/>
    </row>
    <row r="4" spans="1:8" x14ac:dyDescent="0.35">
      <c r="A4" s="3" t="s">
        <v>634</v>
      </c>
      <c r="B4" s="3">
        <v>1</v>
      </c>
      <c r="C4" s="3">
        <v>1</v>
      </c>
      <c r="D4" s="3">
        <v>1</v>
      </c>
      <c r="E4" s="3">
        <v>0.5</v>
      </c>
      <c r="F4" s="3">
        <f t="shared" si="0"/>
        <v>3.5</v>
      </c>
      <c r="G4" s="3"/>
      <c r="H4" s="3"/>
    </row>
    <row r="5" spans="1:8" x14ac:dyDescent="0.35">
      <c r="A5" s="3" t="s">
        <v>622</v>
      </c>
      <c r="B5" s="3">
        <v>1</v>
      </c>
      <c r="C5" s="3">
        <v>1</v>
      </c>
      <c r="D5" s="3">
        <v>1</v>
      </c>
      <c r="E5" s="3">
        <v>1</v>
      </c>
      <c r="F5" s="3">
        <f t="shared" si="0"/>
        <v>4</v>
      </c>
      <c r="G5" s="3"/>
      <c r="H5" s="3"/>
    </row>
    <row r="6" spans="1:8" x14ac:dyDescent="0.35">
      <c r="A6" s="3" t="s">
        <v>635</v>
      </c>
      <c r="B6" s="3">
        <v>1</v>
      </c>
      <c r="C6" s="3">
        <v>1</v>
      </c>
      <c r="D6" s="3">
        <v>1</v>
      </c>
      <c r="E6" s="3">
        <v>1</v>
      </c>
      <c r="F6" s="3">
        <f t="shared" si="0"/>
        <v>4</v>
      </c>
      <c r="G6" s="3"/>
      <c r="H6" s="3"/>
    </row>
    <row r="7" spans="1:8" x14ac:dyDescent="0.35">
      <c r="A7" s="3" t="s">
        <v>632</v>
      </c>
      <c r="B7" s="3">
        <v>1</v>
      </c>
      <c r="C7" s="3">
        <v>1</v>
      </c>
      <c r="D7" s="3">
        <v>1</v>
      </c>
      <c r="E7" s="3">
        <v>0.5</v>
      </c>
      <c r="F7" s="3">
        <f t="shared" si="0"/>
        <v>3.5</v>
      </c>
      <c r="G7" s="3"/>
      <c r="H7" s="3"/>
    </row>
    <row r="8" spans="1:8" x14ac:dyDescent="0.35">
      <c r="A8" s="3" t="s">
        <v>631</v>
      </c>
      <c r="B8" s="3">
        <v>1</v>
      </c>
      <c r="C8" s="3">
        <v>1</v>
      </c>
      <c r="D8" s="3">
        <v>1</v>
      </c>
      <c r="E8" s="3">
        <v>0.5</v>
      </c>
      <c r="F8" s="3">
        <f t="shared" si="0"/>
        <v>3.5</v>
      </c>
      <c r="G8" s="3"/>
      <c r="H8" s="3"/>
    </row>
    <row r="9" spans="1:8" x14ac:dyDescent="0.35">
      <c r="A9" s="3" t="s">
        <v>626</v>
      </c>
      <c r="B9" s="3">
        <v>1</v>
      </c>
      <c r="C9" s="3">
        <v>1</v>
      </c>
      <c r="D9" s="3">
        <v>1</v>
      </c>
      <c r="E9" s="3">
        <v>0.5</v>
      </c>
      <c r="F9" s="3">
        <f t="shared" si="0"/>
        <v>3.5</v>
      </c>
      <c r="G9" s="3"/>
      <c r="H9" s="3"/>
    </row>
    <row r="10" spans="1:8" x14ac:dyDescent="0.35">
      <c r="A10" s="3" t="s">
        <v>624</v>
      </c>
      <c r="B10" s="3">
        <v>1</v>
      </c>
      <c r="C10" s="3">
        <v>1</v>
      </c>
      <c r="D10" s="3">
        <v>1</v>
      </c>
      <c r="E10" s="3">
        <v>0.5</v>
      </c>
      <c r="F10" s="3">
        <f t="shared" si="0"/>
        <v>3.5</v>
      </c>
      <c r="G10" s="3"/>
      <c r="H10" s="3"/>
    </row>
    <row r="11" spans="1:8" x14ac:dyDescent="0.35">
      <c r="A11" s="3" t="s">
        <v>633</v>
      </c>
      <c r="B11" s="3">
        <v>1</v>
      </c>
      <c r="C11" s="3">
        <v>0.5</v>
      </c>
      <c r="D11" s="3">
        <v>1</v>
      </c>
      <c r="E11" s="3">
        <v>1</v>
      </c>
      <c r="F11" s="3">
        <f t="shared" si="0"/>
        <v>3.5</v>
      </c>
      <c r="G11" s="3"/>
      <c r="H11" s="3"/>
    </row>
    <row r="12" spans="1:8" x14ac:dyDescent="0.35">
      <c r="A12" s="3" t="s">
        <v>625</v>
      </c>
      <c r="B12" s="3">
        <v>1</v>
      </c>
      <c r="C12" s="3">
        <v>0.5</v>
      </c>
      <c r="D12" s="3">
        <v>1</v>
      </c>
      <c r="E12" s="3">
        <v>1</v>
      </c>
      <c r="F12" s="3">
        <f t="shared" si="0"/>
        <v>3.5</v>
      </c>
      <c r="G12" s="3"/>
      <c r="H12" s="3"/>
    </row>
    <row r="13" spans="1:8" x14ac:dyDescent="0.35">
      <c r="A13" s="3" t="s">
        <v>636</v>
      </c>
      <c r="B13" s="3">
        <v>1</v>
      </c>
      <c r="C13" s="3">
        <v>1</v>
      </c>
      <c r="D13" s="3">
        <v>1</v>
      </c>
      <c r="E13" s="3">
        <v>0.5</v>
      </c>
      <c r="F13" s="3">
        <f t="shared" si="0"/>
        <v>3.5</v>
      </c>
      <c r="G13" s="3"/>
      <c r="H13" s="3"/>
    </row>
    <row r="14" spans="1:8" x14ac:dyDescent="0.35">
      <c r="A14" s="3" t="s">
        <v>642</v>
      </c>
      <c r="B14" s="3">
        <v>1</v>
      </c>
      <c r="C14" s="3">
        <v>0.5</v>
      </c>
      <c r="D14" s="3">
        <v>1</v>
      </c>
      <c r="E14" s="3">
        <v>1</v>
      </c>
      <c r="F14" s="3">
        <f t="shared" si="0"/>
        <v>3.5</v>
      </c>
      <c r="G14" s="3"/>
      <c r="H14" s="3"/>
    </row>
    <row r="15" spans="1:8" x14ac:dyDescent="0.35">
      <c r="A15" s="3" t="s">
        <v>644</v>
      </c>
      <c r="B15" s="3">
        <v>1</v>
      </c>
      <c r="C15" s="3">
        <v>0.5</v>
      </c>
      <c r="D15" s="3">
        <v>1</v>
      </c>
      <c r="E15" s="3">
        <v>1</v>
      </c>
      <c r="F15" s="3">
        <f t="shared" si="0"/>
        <v>3.5</v>
      </c>
      <c r="G15" s="3"/>
      <c r="H15" s="3"/>
    </row>
    <row r="16" spans="1:8" x14ac:dyDescent="0.35">
      <c r="A16" s="3" t="s">
        <v>647</v>
      </c>
      <c r="B16" s="3">
        <v>1</v>
      </c>
      <c r="C16" s="3">
        <v>0.5</v>
      </c>
      <c r="D16" s="3">
        <v>1</v>
      </c>
      <c r="E16" s="3">
        <v>1</v>
      </c>
      <c r="F16" s="3">
        <f t="shared" si="0"/>
        <v>3.5</v>
      </c>
      <c r="G16" s="3"/>
      <c r="H16" s="3"/>
    </row>
    <row r="17" spans="1:8" x14ac:dyDescent="0.35">
      <c r="A17" s="3" t="s">
        <v>651</v>
      </c>
      <c r="B17" s="3">
        <v>1</v>
      </c>
      <c r="C17" s="3">
        <v>0.5</v>
      </c>
      <c r="D17" s="3">
        <v>1</v>
      </c>
      <c r="E17" s="3">
        <v>1</v>
      </c>
      <c r="F17" s="3">
        <f t="shared" si="0"/>
        <v>3.5</v>
      </c>
      <c r="G17" s="3"/>
      <c r="H17" s="3"/>
    </row>
    <row r="18" spans="1:8" x14ac:dyDescent="0.35">
      <c r="A18" s="3" t="s">
        <v>648</v>
      </c>
      <c r="B18" s="3">
        <v>1</v>
      </c>
      <c r="C18" s="3">
        <v>0.5</v>
      </c>
      <c r="D18" s="3">
        <v>1</v>
      </c>
      <c r="E18" s="3">
        <v>1</v>
      </c>
      <c r="F18" s="3">
        <f t="shared" si="0"/>
        <v>3.5</v>
      </c>
      <c r="G18" s="3"/>
      <c r="H18" s="3"/>
    </row>
    <row r="19" spans="1:8" x14ac:dyDescent="0.35">
      <c r="A19" s="3" t="s">
        <v>638</v>
      </c>
      <c r="B19" s="3">
        <v>1</v>
      </c>
      <c r="C19" s="3">
        <v>1</v>
      </c>
      <c r="D19" s="3">
        <v>1</v>
      </c>
      <c r="E19" s="3">
        <v>1</v>
      </c>
      <c r="F19" s="3">
        <f t="shared" si="0"/>
        <v>4</v>
      </c>
      <c r="G19" s="3"/>
      <c r="H19" s="3"/>
    </row>
    <row r="20" spans="1:8" x14ac:dyDescent="0.35">
      <c r="A20" s="3" t="s">
        <v>639</v>
      </c>
      <c r="B20" s="3">
        <v>1</v>
      </c>
      <c r="C20" s="3">
        <v>1</v>
      </c>
      <c r="D20" s="3">
        <v>1</v>
      </c>
      <c r="E20" s="3">
        <v>1</v>
      </c>
      <c r="F20" s="3">
        <f t="shared" si="0"/>
        <v>4</v>
      </c>
      <c r="G20" s="3"/>
      <c r="H20" s="3"/>
    </row>
    <row r="21" spans="1:8" x14ac:dyDescent="0.35">
      <c r="A21" s="3" t="s">
        <v>641</v>
      </c>
      <c r="B21" s="3">
        <v>1</v>
      </c>
      <c r="C21" s="3">
        <v>1</v>
      </c>
      <c r="D21" s="3">
        <v>1</v>
      </c>
      <c r="E21" s="3">
        <v>1</v>
      </c>
      <c r="F21" s="3">
        <f t="shared" si="0"/>
        <v>4</v>
      </c>
      <c r="G21" s="3"/>
      <c r="H21" s="3"/>
    </row>
    <row r="22" spans="1:8" x14ac:dyDescent="0.35">
      <c r="A22" s="3" t="s">
        <v>637</v>
      </c>
      <c r="B22" s="3">
        <v>1</v>
      </c>
      <c r="C22" s="3">
        <v>1</v>
      </c>
      <c r="D22" s="3">
        <v>1</v>
      </c>
      <c r="E22" s="3">
        <v>0.5</v>
      </c>
      <c r="F22" s="3">
        <f t="shared" si="0"/>
        <v>3.5</v>
      </c>
      <c r="G22" s="3"/>
      <c r="H22" s="3"/>
    </row>
    <row r="23" spans="1:8" x14ac:dyDescent="0.35">
      <c r="A23" s="3" t="s">
        <v>643</v>
      </c>
      <c r="B23" s="3">
        <v>1</v>
      </c>
      <c r="C23" s="3">
        <v>0.5</v>
      </c>
      <c r="D23" s="3">
        <v>1</v>
      </c>
      <c r="E23" s="3">
        <v>1</v>
      </c>
      <c r="F23" s="3">
        <f t="shared" si="0"/>
        <v>3.5</v>
      </c>
      <c r="G23" s="3"/>
      <c r="H23" s="3"/>
    </row>
    <row r="24" spans="1:8" x14ac:dyDescent="0.35">
      <c r="A24" s="3" t="s">
        <v>640</v>
      </c>
      <c r="B24" s="3">
        <v>1</v>
      </c>
      <c r="C24" s="3">
        <v>1</v>
      </c>
      <c r="D24" s="3">
        <v>1</v>
      </c>
      <c r="E24" s="3">
        <v>1</v>
      </c>
      <c r="F24" s="3">
        <f t="shared" si="0"/>
        <v>4</v>
      </c>
      <c r="G24" s="3"/>
      <c r="H24" s="3"/>
    </row>
    <row r="25" spans="1:8" x14ac:dyDescent="0.35">
      <c r="A25" s="3" t="s">
        <v>646</v>
      </c>
      <c r="B25" s="3">
        <v>1</v>
      </c>
      <c r="C25" s="3">
        <v>0.5</v>
      </c>
      <c r="D25" s="3">
        <v>1</v>
      </c>
      <c r="E25" s="3">
        <v>1</v>
      </c>
      <c r="F25" s="3">
        <f t="shared" si="0"/>
        <v>3.5</v>
      </c>
      <c r="G25" s="3"/>
      <c r="H25" s="3"/>
    </row>
    <row r="26" spans="1:8" x14ac:dyDescent="0.35">
      <c r="A26" s="3" t="s">
        <v>649</v>
      </c>
      <c r="B26" s="3">
        <v>1</v>
      </c>
      <c r="C26" s="3">
        <v>1</v>
      </c>
      <c r="D26" s="3">
        <v>1</v>
      </c>
      <c r="E26" s="3">
        <v>1</v>
      </c>
      <c r="F26" s="3">
        <f t="shared" si="0"/>
        <v>4</v>
      </c>
      <c r="G26" s="3"/>
      <c r="H26" s="3"/>
    </row>
    <row r="27" spans="1:8" x14ac:dyDescent="0.35">
      <c r="A27" s="3" t="s">
        <v>645</v>
      </c>
      <c r="B27" s="3">
        <v>1</v>
      </c>
      <c r="C27" s="3">
        <v>1</v>
      </c>
      <c r="D27" s="3">
        <v>1</v>
      </c>
      <c r="E27" s="3">
        <v>1</v>
      </c>
      <c r="F27" s="3">
        <f t="shared" si="0"/>
        <v>4</v>
      </c>
      <c r="G27" s="3"/>
      <c r="H27" s="3"/>
    </row>
    <row r="28" spans="1:8" x14ac:dyDescent="0.35">
      <c r="A28" s="3" t="s">
        <v>652</v>
      </c>
      <c r="B28" s="3">
        <v>1</v>
      </c>
      <c r="C28" s="3">
        <v>0.5</v>
      </c>
      <c r="D28" s="3">
        <v>1</v>
      </c>
      <c r="E28" s="3">
        <v>1</v>
      </c>
      <c r="F28" s="3">
        <f t="shared" si="0"/>
        <v>3.5</v>
      </c>
      <c r="G28" s="3"/>
      <c r="H28" s="3"/>
    </row>
    <row r="29" spans="1:8" x14ac:dyDescent="0.35">
      <c r="A29" s="3" t="s">
        <v>650</v>
      </c>
      <c r="B29" s="3">
        <v>1</v>
      </c>
      <c r="C29" s="3">
        <v>1</v>
      </c>
      <c r="D29" s="3">
        <v>1</v>
      </c>
      <c r="E29" s="3">
        <v>0.5</v>
      </c>
      <c r="F29" s="3">
        <f t="shared" si="0"/>
        <v>3.5</v>
      </c>
      <c r="G29" s="3"/>
      <c r="H29" s="3"/>
    </row>
    <row r="30" spans="1:8" x14ac:dyDescent="0.35">
      <c r="A30" s="3" t="s">
        <v>653</v>
      </c>
      <c r="B30" s="3">
        <v>1</v>
      </c>
      <c r="C30" s="3">
        <v>0.5</v>
      </c>
      <c r="D30" s="3">
        <v>1</v>
      </c>
      <c r="E30" s="3">
        <v>1</v>
      </c>
      <c r="F30" s="3">
        <f t="shared" si="0"/>
        <v>3.5</v>
      </c>
      <c r="G30" s="3"/>
      <c r="H30" s="3"/>
    </row>
    <row r="31" spans="1:8" x14ac:dyDescent="0.35">
      <c r="A31" s="3" t="s">
        <v>656</v>
      </c>
      <c r="B31" s="3">
        <v>1</v>
      </c>
      <c r="C31" s="3">
        <v>1</v>
      </c>
      <c r="D31" s="3">
        <v>1</v>
      </c>
      <c r="E31" s="3">
        <v>0.5</v>
      </c>
      <c r="F31" s="3">
        <f t="shared" si="0"/>
        <v>3.5</v>
      </c>
      <c r="G31" s="3"/>
      <c r="H31" s="3"/>
    </row>
    <row r="32" spans="1:8" x14ac:dyDescent="0.35">
      <c r="A32" s="3" t="s">
        <v>655</v>
      </c>
      <c r="B32" s="3">
        <v>1</v>
      </c>
      <c r="C32" s="3">
        <v>0.5</v>
      </c>
      <c r="D32" s="3">
        <v>1</v>
      </c>
      <c r="E32" s="3">
        <v>1</v>
      </c>
      <c r="F32" s="3">
        <f t="shared" si="0"/>
        <v>3.5</v>
      </c>
      <c r="G32" s="3"/>
      <c r="H32" s="3"/>
    </row>
    <row r="33" spans="1:8" x14ac:dyDescent="0.35">
      <c r="A33" s="3" t="s">
        <v>658</v>
      </c>
      <c r="B33" s="3">
        <v>1</v>
      </c>
      <c r="C33" s="3">
        <v>1</v>
      </c>
      <c r="D33" s="3">
        <v>1</v>
      </c>
      <c r="E33" s="3">
        <v>1</v>
      </c>
      <c r="F33" s="3">
        <f t="shared" si="0"/>
        <v>4</v>
      </c>
      <c r="G33" s="3"/>
      <c r="H33" s="3"/>
    </row>
    <row r="34" spans="1:8" x14ac:dyDescent="0.35">
      <c r="A34" s="3" t="s">
        <v>660</v>
      </c>
      <c r="B34" s="3">
        <v>1</v>
      </c>
      <c r="C34" s="3">
        <v>1</v>
      </c>
      <c r="D34" s="3">
        <v>0.5</v>
      </c>
      <c r="E34" s="3">
        <v>1</v>
      </c>
      <c r="F34" s="3">
        <f t="shared" si="0"/>
        <v>3.5</v>
      </c>
      <c r="G34" s="3"/>
      <c r="H34" s="3"/>
    </row>
    <row r="35" spans="1:8" x14ac:dyDescent="0.35">
      <c r="A35" s="3" t="s">
        <v>654</v>
      </c>
      <c r="B35" s="3">
        <v>1</v>
      </c>
      <c r="C35" s="3">
        <v>1</v>
      </c>
      <c r="D35" s="3">
        <v>1</v>
      </c>
      <c r="E35" s="3">
        <v>1</v>
      </c>
      <c r="F35" s="3">
        <f t="shared" si="0"/>
        <v>4</v>
      </c>
      <c r="G35" s="3"/>
      <c r="H35" s="3"/>
    </row>
    <row r="36" spans="1:8" x14ac:dyDescent="0.35">
      <c r="A36" s="3" t="s">
        <v>657</v>
      </c>
      <c r="B36" s="3">
        <v>1</v>
      </c>
      <c r="C36" s="3">
        <v>1</v>
      </c>
      <c r="D36" s="3">
        <v>1</v>
      </c>
      <c r="E36" s="3">
        <v>1</v>
      </c>
      <c r="F36" s="3">
        <f t="shared" si="0"/>
        <v>4</v>
      </c>
      <c r="G36" s="3"/>
      <c r="H36" s="3"/>
    </row>
    <row r="37" spans="1:8" x14ac:dyDescent="0.35">
      <c r="A37" s="3" t="s">
        <v>659</v>
      </c>
      <c r="B37" s="3">
        <v>1</v>
      </c>
      <c r="C37" s="3">
        <v>1</v>
      </c>
      <c r="D37" s="3">
        <v>1</v>
      </c>
      <c r="E37" s="3">
        <v>1</v>
      </c>
      <c r="F37" s="3">
        <f t="shared" si="0"/>
        <v>4</v>
      </c>
      <c r="G37" s="3"/>
      <c r="H37" s="3"/>
    </row>
    <row r="38" spans="1:8" x14ac:dyDescent="0.35">
      <c r="A38" s="3" t="s">
        <v>668</v>
      </c>
      <c r="B38" s="3">
        <v>1</v>
      </c>
      <c r="C38" s="3">
        <v>1</v>
      </c>
      <c r="D38" s="3">
        <v>0.5</v>
      </c>
      <c r="E38" s="3">
        <v>1</v>
      </c>
      <c r="F38" s="3">
        <f t="shared" si="0"/>
        <v>3.5</v>
      </c>
      <c r="G38" s="3"/>
      <c r="H38" s="3"/>
    </row>
    <row r="39" spans="1:8" x14ac:dyDescent="0.35">
      <c r="A39" s="3" t="s">
        <v>665</v>
      </c>
      <c r="B39" s="3">
        <v>1</v>
      </c>
      <c r="C39" s="3">
        <v>1</v>
      </c>
      <c r="D39" s="3">
        <v>0.5</v>
      </c>
      <c r="E39" s="3">
        <v>1</v>
      </c>
      <c r="F39" s="3">
        <f t="shared" si="0"/>
        <v>3.5</v>
      </c>
      <c r="G39" s="3"/>
      <c r="H39" s="3"/>
    </row>
    <row r="40" spans="1:8" x14ac:dyDescent="0.35">
      <c r="A40" s="3" t="s">
        <v>661</v>
      </c>
      <c r="B40" s="3">
        <v>1</v>
      </c>
      <c r="C40" s="3">
        <v>1</v>
      </c>
      <c r="D40" s="3">
        <v>1</v>
      </c>
      <c r="E40" s="3">
        <v>1</v>
      </c>
      <c r="F40" s="3">
        <f t="shared" si="0"/>
        <v>4</v>
      </c>
      <c r="G40" s="3"/>
      <c r="H40" s="3"/>
    </row>
    <row r="41" spans="1:8" x14ac:dyDescent="0.35">
      <c r="A41" s="3" t="s">
        <v>664</v>
      </c>
      <c r="B41" s="3">
        <v>1</v>
      </c>
      <c r="C41" s="3">
        <v>1</v>
      </c>
      <c r="D41" s="3">
        <v>1</v>
      </c>
      <c r="E41" s="3">
        <v>1</v>
      </c>
      <c r="F41" s="3">
        <f t="shared" si="0"/>
        <v>4</v>
      </c>
      <c r="G41" s="3"/>
      <c r="H41" s="3"/>
    </row>
    <row r="42" spans="1:8" x14ac:dyDescent="0.35">
      <c r="A42" s="3" t="s">
        <v>671</v>
      </c>
      <c r="B42" s="3">
        <v>1</v>
      </c>
      <c r="C42" s="3">
        <v>0.5</v>
      </c>
      <c r="D42" s="3">
        <v>1</v>
      </c>
      <c r="E42" s="3">
        <v>1</v>
      </c>
      <c r="F42" s="3">
        <f t="shared" si="0"/>
        <v>3.5</v>
      </c>
      <c r="G42" s="3"/>
      <c r="H42" s="3"/>
    </row>
    <row r="43" spans="1:8" x14ac:dyDescent="0.35">
      <c r="A43" s="3" t="s">
        <v>666</v>
      </c>
      <c r="B43" s="3">
        <v>1</v>
      </c>
      <c r="C43" s="3">
        <v>1</v>
      </c>
      <c r="D43" s="3">
        <v>1</v>
      </c>
      <c r="E43" s="3">
        <v>0.5</v>
      </c>
      <c r="F43" s="3">
        <f t="shared" si="0"/>
        <v>3.5</v>
      </c>
      <c r="G43" s="3"/>
      <c r="H43" s="3"/>
    </row>
    <row r="44" spans="1:8" x14ac:dyDescent="0.35">
      <c r="A44" s="3" t="s">
        <v>672</v>
      </c>
      <c r="B44" s="3">
        <v>1</v>
      </c>
      <c r="C44" s="3">
        <v>1</v>
      </c>
      <c r="D44" s="3">
        <v>1</v>
      </c>
      <c r="E44" s="3">
        <v>1</v>
      </c>
      <c r="F44" s="3">
        <f t="shared" si="0"/>
        <v>4</v>
      </c>
      <c r="G44" s="3"/>
      <c r="H44" s="3"/>
    </row>
    <row r="45" spans="1:8" x14ac:dyDescent="0.35">
      <c r="A45" s="3" t="s">
        <v>662</v>
      </c>
      <c r="B45" s="3">
        <v>1</v>
      </c>
      <c r="C45" s="3">
        <v>0.5</v>
      </c>
      <c r="D45" s="3">
        <v>1</v>
      </c>
      <c r="E45" s="3">
        <v>1</v>
      </c>
      <c r="F45" s="3">
        <f t="shared" si="0"/>
        <v>3.5</v>
      </c>
      <c r="G45" s="3"/>
      <c r="H45" s="3"/>
    </row>
    <row r="46" spans="1:8" x14ac:dyDescent="0.35">
      <c r="A46" s="3" t="s">
        <v>669</v>
      </c>
      <c r="B46" s="3">
        <v>1</v>
      </c>
      <c r="C46" s="3">
        <v>0.5</v>
      </c>
      <c r="D46" s="3">
        <v>1</v>
      </c>
      <c r="E46" s="3">
        <v>1</v>
      </c>
      <c r="F46" s="3">
        <f t="shared" si="0"/>
        <v>3.5</v>
      </c>
      <c r="G46" s="3"/>
      <c r="H46" s="3"/>
    </row>
    <row r="47" spans="1:8" x14ac:dyDescent="0.35">
      <c r="A47" s="3" t="s">
        <v>667</v>
      </c>
      <c r="B47" s="3">
        <v>1</v>
      </c>
      <c r="C47" s="3">
        <v>1</v>
      </c>
      <c r="D47" s="3">
        <v>1</v>
      </c>
      <c r="E47" s="3">
        <v>0.5</v>
      </c>
      <c r="F47" s="3">
        <f t="shared" si="0"/>
        <v>3.5</v>
      </c>
      <c r="G47" s="3"/>
      <c r="H47" s="3"/>
    </row>
    <row r="48" spans="1:8" x14ac:dyDescent="0.35">
      <c r="A48" s="3" t="s">
        <v>629</v>
      </c>
      <c r="B48" s="3">
        <v>1</v>
      </c>
      <c r="C48" s="3">
        <v>0.5</v>
      </c>
      <c r="D48" s="3">
        <v>1</v>
      </c>
      <c r="E48" s="3">
        <v>1</v>
      </c>
      <c r="F48" s="3">
        <f t="shared" si="0"/>
        <v>3.5</v>
      </c>
      <c r="G48" s="3"/>
      <c r="H48" s="3"/>
    </row>
    <row r="49" spans="1:8" x14ac:dyDescent="0.35">
      <c r="A49" s="3" t="s">
        <v>670</v>
      </c>
      <c r="B49" s="3">
        <v>1</v>
      </c>
      <c r="C49" s="3">
        <v>1</v>
      </c>
      <c r="D49" s="3">
        <v>1</v>
      </c>
      <c r="E49" s="3">
        <v>0.5</v>
      </c>
      <c r="F49" s="3">
        <f t="shared" si="0"/>
        <v>3.5</v>
      </c>
      <c r="G49" s="3"/>
      <c r="H49" s="3"/>
    </row>
    <row r="50" spans="1:8" x14ac:dyDescent="0.35">
      <c r="A50" s="3" t="s">
        <v>663</v>
      </c>
      <c r="B50" s="3">
        <v>1</v>
      </c>
      <c r="C50" s="3">
        <v>1</v>
      </c>
      <c r="D50" s="3">
        <v>1</v>
      </c>
      <c r="E50" s="3">
        <v>1</v>
      </c>
      <c r="F50" s="3">
        <f t="shared" si="0"/>
        <v>4</v>
      </c>
      <c r="G50" s="3"/>
      <c r="H50" s="3"/>
    </row>
    <row r="51" spans="1:8" x14ac:dyDescent="0.35">
      <c r="A51" s="3" t="s">
        <v>628</v>
      </c>
      <c r="B51" s="3">
        <v>1</v>
      </c>
      <c r="C51" s="3">
        <v>1</v>
      </c>
      <c r="D51" s="3">
        <v>1</v>
      </c>
      <c r="E51" s="3">
        <v>1</v>
      </c>
      <c r="F51" s="3">
        <f t="shared" si="0"/>
        <v>4</v>
      </c>
      <c r="G51" s="3"/>
      <c r="H51" s="3"/>
    </row>
    <row r="52" spans="1:8" x14ac:dyDescent="0.35">
      <c r="A52" s="3" t="s">
        <v>627</v>
      </c>
      <c r="B52" s="3">
        <v>1</v>
      </c>
      <c r="C52" s="3">
        <v>1</v>
      </c>
      <c r="D52" s="3">
        <v>1</v>
      </c>
      <c r="E52" s="3">
        <v>1</v>
      </c>
      <c r="F52" s="3">
        <f t="shared" si="0"/>
        <v>4</v>
      </c>
      <c r="G52" s="3"/>
      <c r="H52" s="3"/>
    </row>
    <row r="53" spans="1:8" x14ac:dyDescent="0.35">
      <c r="A53" s="3" t="s">
        <v>530</v>
      </c>
      <c r="B53" s="3">
        <v>1</v>
      </c>
      <c r="C53" s="3">
        <v>0.5</v>
      </c>
      <c r="D53" s="3">
        <v>1</v>
      </c>
      <c r="E53" s="3">
        <v>1</v>
      </c>
      <c r="F53" s="3">
        <f t="shared" si="0"/>
        <v>3.5</v>
      </c>
      <c r="G53" s="3"/>
      <c r="H53" s="3"/>
    </row>
    <row r="54" spans="1:8" x14ac:dyDescent="0.35">
      <c r="A54" s="3" t="s">
        <v>895</v>
      </c>
      <c r="B54" s="3">
        <v>1</v>
      </c>
      <c r="C54" s="3">
        <v>1</v>
      </c>
      <c r="D54" s="3">
        <v>1</v>
      </c>
      <c r="E54" s="3">
        <v>0.5</v>
      </c>
      <c r="F54" s="3">
        <f t="shared" si="0"/>
        <v>3.5</v>
      </c>
    </row>
    <row r="55" spans="1:8" x14ac:dyDescent="0.35">
      <c r="A55" s="3" t="s">
        <v>896</v>
      </c>
      <c r="B55" s="3">
        <v>1</v>
      </c>
      <c r="C55" s="3">
        <v>1</v>
      </c>
      <c r="D55" s="3">
        <v>1</v>
      </c>
      <c r="E55" s="3">
        <v>1</v>
      </c>
      <c r="F55" s="3">
        <f t="shared" si="0"/>
        <v>4</v>
      </c>
    </row>
    <row r="56" spans="1:8" x14ac:dyDescent="0.35">
      <c r="A56" s="3" t="s">
        <v>897</v>
      </c>
      <c r="B56" s="3">
        <v>1</v>
      </c>
      <c r="C56" s="3">
        <v>0.5</v>
      </c>
      <c r="D56" s="3">
        <v>1</v>
      </c>
      <c r="E56" s="3">
        <v>1</v>
      </c>
      <c r="F56" s="3">
        <f t="shared" si="0"/>
        <v>3.5</v>
      </c>
    </row>
    <row r="57" spans="1:8" x14ac:dyDescent="0.35">
      <c r="A57" s="3" t="s">
        <v>898</v>
      </c>
      <c r="B57" s="3">
        <v>1</v>
      </c>
      <c r="C57" s="3">
        <v>1</v>
      </c>
      <c r="D57" s="3">
        <v>1</v>
      </c>
      <c r="E57" s="3">
        <v>1</v>
      </c>
      <c r="F57" s="3">
        <f t="shared" si="0"/>
        <v>4</v>
      </c>
    </row>
    <row r="58" spans="1:8" x14ac:dyDescent="0.35">
      <c r="A58" s="3" t="s">
        <v>899</v>
      </c>
      <c r="B58" s="3">
        <v>1</v>
      </c>
      <c r="C58" s="3">
        <v>1</v>
      </c>
      <c r="D58" s="3">
        <v>1</v>
      </c>
      <c r="E58" s="3">
        <v>1</v>
      </c>
      <c r="F58" s="3">
        <f t="shared" si="0"/>
        <v>4</v>
      </c>
    </row>
  </sheetData>
  <autoFilter ref="A1:H53" xr:uid="{6912375A-67B7-448A-B5FC-9961CDFCEB88}"/>
  <phoneticPr fontId="3" type="noConversion"/>
  <conditionalFormatting sqref="G1:H1">
    <cfRule type="iconSet" priority="12">
      <iconSet iconSet="3Symbols2">
        <cfvo type="percent" val="0"/>
        <cfvo type="percent" val="33"/>
        <cfvo type="percent" val="67"/>
      </iconSet>
    </cfRule>
  </conditionalFormatting>
  <conditionalFormatting sqref="G1:H1">
    <cfRule type="iconSet" priority="7">
      <iconSet iconSet="3Symbols2">
        <cfvo type="percent" val="0"/>
        <cfvo type="percent" val="33"/>
        <cfvo type="percent" val="67"/>
      </iconSet>
    </cfRule>
  </conditionalFormatting>
  <conditionalFormatting sqref="B1">
    <cfRule type="iconSet" priority="4">
      <iconSet iconSet="3Symbols2">
        <cfvo type="percent" val="0"/>
        <cfvo type="percent" val="33"/>
        <cfvo type="percent" val="67"/>
      </iconSet>
    </cfRule>
  </conditionalFormatting>
  <conditionalFormatting sqref="B1:F1">
    <cfRule type="iconSet" priority="5">
      <iconSet iconSet="3Symbols2">
        <cfvo type="percent" val="0"/>
        <cfvo type="percent" val="33"/>
        <cfvo type="percent" val="67"/>
      </iconSet>
    </cfRule>
  </conditionalFormatting>
  <conditionalFormatting sqref="C1">
    <cfRule type="iconSet" priority="3">
      <iconSet iconSet="3Symbols2">
        <cfvo type="percent" val="0"/>
        <cfvo type="percent" val="33"/>
        <cfvo type="percent" val="67"/>
      </iconSet>
    </cfRule>
  </conditionalFormatting>
  <conditionalFormatting sqref="D1">
    <cfRule type="iconSet" priority="2">
      <iconSet iconSet="3Symbols2">
        <cfvo type="percent" val="0"/>
        <cfvo type="percent" val="33"/>
        <cfvo type="percent" val="67"/>
      </iconSet>
    </cfRule>
  </conditionalFormatting>
  <conditionalFormatting sqref="E1">
    <cfRule type="iconSet" priority="1">
      <iconSet iconSet="3Symbols2">
        <cfvo type="percent" val="0"/>
        <cfvo type="percent" val="33"/>
        <cfvo type="percent" val="67"/>
      </iconSet>
    </cfRule>
  </conditionalFormatting>
  <conditionalFormatting sqref="F1">
    <cfRule type="iconSet" priority="6">
      <iconSet iconSet="3Symbols2">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9D3E-6D74-4852-AC7A-E3A0AD19EC5D}">
  <sheetPr>
    <tabColor theme="7" tint="-0.249977111117893"/>
  </sheetPr>
  <dimension ref="A1:F22"/>
  <sheetViews>
    <sheetView topLeftCell="A9" zoomScale="80" zoomScaleNormal="80" workbookViewId="0">
      <selection activeCell="D21" sqref="D21"/>
    </sheetView>
  </sheetViews>
  <sheetFormatPr defaultColWidth="21.6328125" defaultRowHeight="14.5" x14ac:dyDescent="0.35"/>
  <cols>
    <col min="1" max="1" width="17.453125" customWidth="1"/>
    <col min="2" max="2" width="18.7265625" customWidth="1"/>
    <col min="5" max="5" width="20" customWidth="1"/>
  </cols>
  <sheetData>
    <row r="1" spans="1:6" ht="35" customHeight="1" x14ac:dyDescent="0.35">
      <c r="A1" s="7" t="s">
        <v>415</v>
      </c>
      <c r="B1" s="8" t="s">
        <v>416</v>
      </c>
      <c r="C1" s="8" t="s">
        <v>417</v>
      </c>
      <c r="D1" s="8" t="s">
        <v>422</v>
      </c>
      <c r="E1" s="8" t="s">
        <v>418</v>
      </c>
      <c r="F1" s="8" t="s">
        <v>419</v>
      </c>
    </row>
    <row r="2" spans="1:6" x14ac:dyDescent="0.35">
      <c r="A2" s="3" t="s">
        <v>376</v>
      </c>
      <c r="B2" s="3">
        <v>167</v>
      </c>
      <c r="C2" s="3">
        <v>109</v>
      </c>
      <c r="D2" s="3">
        <v>21</v>
      </c>
      <c r="E2" s="9">
        <f>COUNTIF(Extractions!$G$2:$G$53, $A2)</f>
        <v>11</v>
      </c>
      <c r="F2" s="3">
        <v>11</v>
      </c>
    </row>
    <row r="3" spans="1:6" x14ac:dyDescent="0.35">
      <c r="A3" s="3" t="s">
        <v>375</v>
      </c>
      <c r="B3" s="3">
        <v>131</v>
      </c>
      <c r="C3" s="3">
        <v>79</v>
      </c>
      <c r="D3" s="3">
        <v>26</v>
      </c>
      <c r="E3" s="9">
        <v>19</v>
      </c>
      <c r="F3" s="3">
        <v>19</v>
      </c>
    </row>
    <row r="4" spans="1:6" x14ac:dyDescent="0.35">
      <c r="A4" s="3" t="s">
        <v>377</v>
      </c>
      <c r="B4" s="3">
        <v>162</v>
      </c>
      <c r="C4" s="3">
        <v>125</v>
      </c>
      <c r="D4" s="3">
        <v>22</v>
      </c>
      <c r="E4" s="9">
        <v>16</v>
      </c>
      <c r="F4" s="3">
        <v>16</v>
      </c>
    </row>
    <row r="5" spans="1:6" x14ac:dyDescent="0.35">
      <c r="A5" s="3" t="s">
        <v>420</v>
      </c>
      <c r="B5" s="3">
        <v>117</v>
      </c>
      <c r="C5" s="3">
        <v>36</v>
      </c>
      <c r="D5" s="3">
        <v>13</v>
      </c>
      <c r="E5" s="9">
        <f>COUNTIF(Extractions!$G$2:$G$53, $A5)</f>
        <v>8</v>
      </c>
      <c r="F5" s="3">
        <v>8</v>
      </c>
    </row>
    <row r="6" spans="1:6" x14ac:dyDescent="0.35">
      <c r="A6" s="3" t="s">
        <v>378</v>
      </c>
      <c r="B6" s="3">
        <v>127</v>
      </c>
      <c r="C6" s="3">
        <v>38</v>
      </c>
      <c r="D6" s="3">
        <v>11</v>
      </c>
      <c r="E6" s="9">
        <v>3</v>
      </c>
      <c r="F6" s="3">
        <v>3</v>
      </c>
    </row>
    <row r="7" spans="1:6" x14ac:dyDescent="0.35">
      <c r="A7" s="11" t="s">
        <v>421</v>
      </c>
      <c r="B7" s="11">
        <f>SUM(B2:B6)</f>
        <v>704</v>
      </c>
      <c r="C7" s="11">
        <f>SUM(C2:C6)</f>
        <v>387</v>
      </c>
      <c r="D7" s="11">
        <f>SUM(D2:D6)</f>
        <v>93</v>
      </c>
      <c r="E7" s="11">
        <f>SUM(E2:E6)</f>
        <v>57</v>
      </c>
      <c r="F7" s="11">
        <f>SUM(F2:F6)</f>
        <v>57</v>
      </c>
    </row>
    <row r="13" spans="1:6" x14ac:dyDescent="0.35">
      <c r="B13" s="1"/>
      <c r="C13" s="1"/>
    </row>
    <row r="14" spans="1:6" x14ac:dyDescent="0.35">
      <c r="B14" s="3"/>
      <c r="C14" s="3"/>
    </row>
    <row r="15" spans="1:6" x14ac:dyDescent="0.35">
      <c r="B15" s="3"/>
      <c r="C15" s="3"/>
    </row>
    <row r="16" spans="1:6" x14ac:dyDescent="0.35">
      <c r="B16" s="3"/>
      <c r="C16" s="3"/>
    </row>
    <row r="17" spans="2:3" x14ac:dyDescent="0.35">
      <c r="B17" s="3"/>
      <c r="C17" s="3"/>
    </row>
    <row r="18" spans="2:3" x14ac:dyDescent="0.35">
      <c r="B18" s="3"/>
      <c r="C18" s="3"/>
    </row>
    <row r="19" spans="2:3" x14ac:dyDescent="0.35">
      <c r="B19" s="3"/>
      <c r="C19" s="3"/>
    </row>
    <row r="20" spans="2:3" x14ac:dyDescent="0.35">
      <c r="B20" s="3"/>
      <c r="C20" s="3"/>
    </row>
    <row r="21" spans="2:3" x14ac:dyDescent="0.35">
      <c r="B21" s="3"/>
      <c r="C21" s="3"/>
    </row>
    <row r="22" spans="2:3" x14ac:dyDescent="0.35">
      <c r="B22" s="3"/>
      <c r="C22"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5788-0342-477F-988E-008BA752425C}">
  <sheetPr>
    <tabColor theme="4"/>
  </sheetPr>
  <dimension ref="A1:E58"/>
  <sheetViews>
    <sheetView zoomScale="112" workbookViewId="0">
      <selection activeCell="E4" sqref="E4"/>
    </sheetView>
  </sheetViews>
  <sheetFormatPr defaultRowHeight="14.5" x14ac:dyDescent="0.35"/>
  <cols>
    <col min="3" max="3" width="16.08984375" customWidth="1"/>
    <col min="4" max="4" width="17.36328125" customWidth="1"/>
  </cols>
  <sheetData>
    <row r="1" spans="1:5" x14ac:dyDescent="0.35">
      <c r="A1" s="1" t="s">
        <v>16</v>
      </c>
      <c r="B1" s="2" t="s">
        <v>5</v>
      </c>
      <c r="C1" s="2" t="s">
        <v>60</v>
      </c>
      <c r="D1" s="2" t="s">
        <v>841</v>
      </c>
      <c r="E1" s="2" t="s">
        <v>846</v>
      </c>
    </row>
    <row r="2" spans="1:5" x14ac:dyDescent="0.35">
      <c r="A2" s="3" t="s">
        <v>630</v>
      </c>
      <c r="B2" s="3" t="s">
        <v>27</v>
      </c>
      <c r="C2" s="3" t="s">
        <v>26</v>
      </c>
      <c r="D2" s="3" t="s">
        <v>842</v>
      </c>
      <c r="E2" s="3">
        <v>4</v>
      </c>
    </row>
    <row r="3" spans="1:5" x14ac:dyDescent="0.35">
      <c r="A3" s="3" t="s">
        <v>623</v>
      </c>
      <c r="B3" s="3" t="s">
        <v>38</v>
      </c>
      <c r="C3" s="3" t="s">
        <v>37</v>
      </c>
      <c r="D3" s="3" t="s">
        <v>842</v>
      </c>
      <c r="E3" s="3">
        <v>4</v>
      </c>
    </row>
    <row r="4" spans="1:5" x14ac:dyDescent="0.35">
      <c r="A4" s="3" t="s">
        <v>634</v>
      </c>
      <c r="B4" s="3" t="s">
        <v>48</v>
      </c>
      <c r="C4" s="3" t="s">
        <v>47</v>
      </c>
      <c r="D4" s="3" t="s">
        <v>842</v>
      </c>
      <c r="E4" s="3">
        <v>3</v>
      </c>
    </row>
    <row r="5" spans="1:5" x14ac:dyDescent="0.35">
      <c r="A5" s="3" t="s">
        <v>622</v>
      </c>
      <c r="B5" s="3" t="s">
        <v>57</v>
      </c>
      <c r="C5" s="3" t="s">
        <v>61</v>
      </c>
      <c r="D5" s="3" t="s">
        <v>842</v>
      </c>
      <c r="E5" s="3">
        <v>4</v>
      </c>
    </row>
    <row r="6" spans="1:5" x14ac:dyDescent="0.35">
      <c r="A6" s="3" t="s">
        <v>635</v>
      </c>
      <c r="B6" s="3" t="s">
        <v>391</v>
      </c>
      <c r="C6" s="3" t="s">
        <v>390</v>
      </c>
      <c r="D6" s="3" t="s">
        <v>843</v>
      </c>
      <c r="E6" s="3">
        <v>6</v>
      </c>
    </row>
    <row r="7" spans="1:5" x14ac:dyDescent="0.35">
      <c r="A7" s="3" t="s">
        <v>632</v>
      </c>
      <c r="B7" s="3" t="s">
        <v>77</v>
      </c>
      <c r="C7" s="3" t="s">
        <v>76</v>
      </c>
      <c r="D7" s="3" t="s">
        <v>842</v>
      </c>
      <c r="E7" s="3">
        <v>7</v>
      </c>
    </row>
    <row r="8" spans="1:5" x14ac:dyDescent="0.35">
      <c r="A8" s="3" t="s">
        <v>631</v>
      </c>
      <c r="B8" s="3" t="s">
        <v>48</v>
      </c>
      <c r="C8" s="3" t="s">
        <v>82</v>
      </c>
      <c r="D8" s="3" t="s">
        <v>842</v>
      </c>
      <c r="E8" s="3">
        <v>4</v>
      </c>
    </row>
    <row r="9" spans="1:5" x14ac:dyDescent="0.35">
      <c r="A9" s="3" t="s">
        <v>626</v>
      </c>
      <c r="B9" s="3" t="s">
        <v>38</v>
      </c>
      <c r="C9" s="3" t="s">
        <v>90</v>
      </c>
      <c r="D9" s="3" t="s">
        <v>843</v>
      </c>
      <c r="E9" s="3">
        <v>5</v>
      </c>
    </row>
    <row r="10" spans="1:5" x14ac:dyDescent="0.35">
      <c r="A10" s="3" t="s">
        <v>624</v>
      </c>
      <c r="B10" s="3" t="s">
        <v>194</v>
      </c>
      <c r="C10" s="3" t="s">
        <v>193</v>
      </c>
      <c r="D10" s="3" t="s">
        <v>844</v>
      </c>
      <c r="E10" s="3">
        <v>2</v>
      </c>
    </row>
    <row r="11" spans="1:5" x14ac:dyDescent="0.35">
      <c r="A11" s="3" t="s">
        <v>633</v>
      </c>
      <c r="B11" s="3" t="s">
        <v>38</v>
      </c>
      <c r="C11" s="3" t="s">
        <v>847</v>
      </c>
      <c r="D11" s="3" t="s">
        <v>842</v>
      </c>
      <c r="E11" s="3">
        <v>3</v>
      </c>
    </row>
    <row r="12" spans="1:5" x14ac:dyDescent="0.35">
      <c r="A12" s="3" t="s">
        <v>625</v>
      </c>
      <c r="B12" s="3" t="s">
        <v>371</v>
      </c>
      <c r="C12" s="3" t="s">
        <v>370</v>
      </c>
      <c r="D12" s="3" t="s">
        <v>842</v>
      </c>
      <c r="E12" s="3">
        <v>3</v>
      </c>
    </row>
    <row r="13" spans="1:5" x14ac:dyDescent="0.35">
      <c r="A13" s="3" t="s">
        <v>636</v>
      </c>
      <c r="B13" s="3" t="s">
        <v>27</v>
      </c>
      <c r="C13" s="3" t="s">
        <v>125</v>
      </c>
      <c r="D13" s="3" t="s">
        <v>844</v>
      </c>
      <c r="E13" s="3">
        <v>4</v>
      </c>
    </row>
    <row r="14" spans="1:5" x14ac:dyDescent="0.35">
      <c r="A14" s="3" t="s">
        <v>642</v>
      </c>
      <c r="B14" s="3" t="s">
        <v>110</v>
      </c>
      <c r="C14" s="3" t="s">
        <v>140</v>
      </c>
      <c r="D14" s="3" t="s">
        <v>842</v>
      </c>
      <c r="E14" s="3">
        <v>4</v>
      </c>
    </row>
    <row r="15" spans="1:5" x14ac:dyDescent="0.35">
      <c r="A15" s="3" t="s">
        <v>644</v>
      </c>
      <c r="B15" s="3" t="s">
        <v>48</v>
      </c>
      <c r="C15" s="3" t="s">
        <v>147</v>
      </c>
      <c r="D15" s="3" t="s">
        <v>842</v>
      </c>
      <c r="E15" s="3">
        <v>4</v>
      </c>
    </row>
    <row r="16" spans="1:5" x14ac:dyDescent="0.35">
      <c r="A16" s="3" t="s">
        <v>647</v>
      </c>
      <c r="B16" s="3" t="s">
        <v>110</v>
      </c>
      <c r="C16" s="3" t="s">
        <v>178</v>
      </c>
      <c r="D16" s="3" t="s">
        <v>842</v>
      </c>
      <c r="E16" s="3">
        <v>5</v>
      </c>
    </row>
    <row r="17" spans="1:5" x14ac:dyDescent="0.35">
      <c r="A17" s="3" t="s">
        <v>651</v>
      </c>
      <c r="B17" s="3" t="s">
        <v>216</v>
      </c>
      <c r="C17" s="3" t="s">
        <v>215</v>
      </c>
      <c r="D17" s="3" t="s">
        <v>842</v>
      </c>
      <c r="E17" s="3">
        <v>2</v>
      </c>
    </row>
    <row r="18" spans="1:5" x14ac:dyDescent="0.35">
      <c r="A18" s="3" t="s">
        <v>648</v>
      </c>
      <c r="B18" s="3" t="s">
        <v>408</v>
      </c>
      <c r="C18" s="3" t="s">
        <v>407</v>
      </c>
      <c r="D18" s="3" t="s">
        <v>842</v>
      </c>
      <c r="E18" s="3">
        <v>5</v>
      </c>
    </row>
    <row r="19" spans="1:5" x14ac:dyDescent="0.35">
      <c r="A19" s="3" t="s">
        <v>638</v>
      </c>
      <c r="B19" s="3" t="s">
        <v>606</v>
      </c>
      <c r="C19" s="3" t="s">
        <v>401</v>
      </c>
      <c r="D19" s="3" t="s">
        <v>842</v>
      </c>
      <c r="E19" s="3">
        <v>3</v>
      </c>
    </row>
    <row r="20" spans="1:5" x14ac:dyDescent="0.35">
      <c r="A20" s="3" t="s">
        <v>639</v>
      </c>
      <c r="B20" s="3" t="s">
        <v>171</v>
      </c>
      <c r="C20" s="3" t="s">
        <v>229</v>
      </c>
      <c r="D20" s="3" t="s">
        <v>843</v>
      </c>
      <c r="E20" s="3">
        <v>7</v>
      </c>
    </row>
    <row r="21" spans="1:5" x14ac:dyDescent="0.35">
      <c r="A21" s="3" t="s">
        <v>641</v>
      </c>
      <c r="B21" s="3" t="s">
        <v>216</v>
      </c>
      <c r="C21" s="3" t="s">
        <v>238</v>
      </c>
      <c r="D21" s="3" t="s">
        <v>843</v>
      </c>
      <c r="E21" s="3">
        <v>5</v>
      </c>
    </row>
    <row r="22" spans="1:5" x14ac:dyDescent="0.35">
      <c r="A22" s="3" t="s">
        <v>637</v>
      </c>
      <c r="B22" s="3" t="s">
        <v>48</v>
      </c>
      <c r="C22" s="3" t="s">
        <v>249</v>
      </c>
      <c r="D22" s="3" t="s">
        <v>843</v>
      </c>
      <c r="E22" s="3">
        <v>4</v>
      </c>
    </row>
    <row r="23" spans="1:5" x14ac:dyDescent="0.35">
      <c r="A23" s="3" t="s">
        <v>643</v>
      </c>
      <c r="B23" s="3" t="s">
        <v>606</v>
      </c>
      <c r="C23" s="3" t="s">
        <v>257</v>
      </c>
      <c r="D23" s="3" t="s">
        <v>842</v>
      </c>
      <c r="E23" s="3">
        <v>7</v>
      </c>
    </row>
    <row r="24" spans="1:5" x14ac:dyDescent="0.35">
      <c r="A24" s="3" t="s">
        <v>640</v>
      </c>
      <c r="B24" s="3" t="s">
        <v>264</v>
      </c>
      <c r="C24" s="3" t="s">
        <v>263</v>
      </c>
      <c r="D24" s="3" t="s">
        <v>842</v>
      </c>
      <c r="E24" s="3">
        <v>3</v>
      </c>
    </row>
    <row r="25" spans="1:5" x14ac:dyDescent="0.35">
      <c r="A25" s="3" t="s">
        <v>646</v>
      </c>
      <c r="B25" s="3" t="s">
        <v>163</v>
      </c>
      <c r="C25" s="3" t="s">
        <v>287</v>
      </c>
      <c r="D25" s="3" t="s">
        <v>842</v>
      </c>
      <c r="E25" s="3">
        <v>2</v>
      </c>
    </row>
    <row r="26" spans="1:5" x14ac:dyDescent="0.35">
      <c r="A26" s="3" t="s">
        <v>649</v>
      </c>
      <c r="B26" s="3" t="s">
        <v>48</v>
      </c>
      <c r="C26" s="3" t="s">
        <v>297</v>
      </c>
      <c r="D26" s="3" t="s">
        <v>843</v>
      </c>
      <c r="E26" s="3">
        <v>5</v>
      </c>
    </row>
    <row r="27" spans="1:5" x14ac:dyDescent="0.35">
      <c r="A27" s="3" t="s">
        <v>645</v>
      </c>
      <c r="B27" s="3" t="s">
        <v>48</v>
      </c>
      <c r="C27" s="3" t="s">
        <v>324</v>
      </c>
      <c r="D27" s="3" t="s">
        <v>842</v>
      </c>
      <c r="E27" s="3">
        <v>4</v>
      </c>
    </row>
    <row r="28" spans="1:5" x14ac:dyDescent="0.35">
      <c r="A28" s="3" t="s">
        <v>652</v>
      </c>
      <c r="B28" s="3" t="s">
        <v>346</v>
      </c>
      <c r="C28" s="3" t="s">
        <v>345</v>
      </c>
      <c r="D28" s="3" t="s">
        <v>842</v>
      </c>
      <c r="E28" s="3">
        <v>6</v>
      </c>
    </row>
    <row r="29" spans="1:5" x14ac:dyDescent="0.35">
      <c r="A29" s="3" t="s">
        <v>650</v>
      </c>
      <c r="B29" s="3" t="s">
        <v>363</v>
      </c>
      <c r="C29" s="3" t="s">
        <v>362</v>
      </c>
      <c r="D29" s="3" t="s">
        <v>842</v>
      </c>
      <c r="E29" s="3">
        <v>5</v>
      </c>
    </row>
    <row r="30" spans="1:5" x14ac:dyDescent="0.35">
      <c r="A30" s="3" t="s">
        <v>653</v>
      </c>
      <c r="B30" s="3" t="s">
        <v>606</v>
      </c>
      <c r="C30" s="3" t="s">
        <v>848</v>
      </c>
      <c r="D30" s="3" t="s">
        <v>845</v>
      </c>
      <c r="E30" s="3">
        <v>4</v>
      </c>
    </row>
    <row r="31" spans="1:5" x14ac:dyDescent="0.35">
      <c r="A31" s="3" t="s">
        <v>656</v>
      </c>
      <c r="B31" s="3" t="s">
        <v>280</v>
      </c>
      <c r="C31" s="3" t="s">
        <v>279</v>
      </c>
      <c r="D31" s="3" t="s">
        <v>842</v>
      </c>
      <c r="E31" s="3">
        <v>4</v>
      </c>
    </row>
    <row r="32" spans="1:5" x14ac:dyDescent="0.35">
      <c r="A32" s="3" t="s">
        <v>655</v>
      </c>
      <c r="B32" s="3" t="s">
        <v>48</v>
      </c>
      <c r="C32" s="3" t="s">
        <v>303</v>
      </c>
      <c r="D32" s="3" t="s">
        <v>842</v>
      </c>
      <c r="E32" s="3">
        <v>3</v>
      </c>
    </row>
    <row r="33" spans="1:5" x14ac:dyDescent="0.35">
      <c r="A33" s="3" t="s">
        <v>658</v>
      </c>
      <c r="B33" s="3" t="s">
        <v>110</v>
      </c>
      <c r="C33" s="3" t="s">
        <v>310</v>
      </c>
      <c r="D33" s="3" t="s">
        <v>843</v>
      </c>
      <c r="E33" s="3">
        <v>6</v>
      </c>
    </row>
    <row r="34" spans="1:5" x14ac:dyDescent="0.35">
      <c r="A34" s="3" t="s">
        <v>660</v>
      </c>
      <c r="B34" s="3" t="s">
        <v>382</v>
      </c>
      <c r="C34" s="3" t="s">
        <v>381</v>
      </c>
      <c r="D34" s="3" t="s">
        <v>843</v>
      </c>
      <c r="E34" s="3">
        <v>5</v>
      </c>
    </row>
    <row r="35" spans="1:5" x14ac:dyDescent="0.35">
      <c r="A35" s="3" t="s">
        <v>654</v>
      </c>
      <c r="B35" s="3" t="s">
        <v>606</v>
      </c>
      <c r="C35" s="3" t="s">
        <v>331</v>
      </c>
      <c r="D35" s="3" t="s">
        <v>842</v>
      </c>
      <c r="E35" s="3">
        <v>4</v>
      </c>
    </row>
    <row r="36" spans="1:5" x14ac:dyDescent="0.35">
      <c r="A36" s="3" t="s">
        <v>657</v>
      </c>
      <c r="B36" s="3" t="s">
        <v>340</v>
      </c>
      <c r="C36" s="3" t="s">
        <v>339</v>
      </c>
      <c r="D36" s="3" t="s">
        <v>842</v>
      </c>
      <c r="E36" s="3">
        <v>3</v>
      </c>
    </row>
    <row r="37" spans="1:5" x14ac:dyDescent="0.35">
      <c r="A37" s="3" t="s">
        <v>659</v>
      </c>
      <c r="B37" s="3" t="s">
        <v>280</v>
      </c>
      <c r="C37" s="3" t="s">
        <v>354</v>
      </c>
      <c r="D37" s="3" t="s">
        <v>842</v>
      </c>
      <c r="E37" s="3">
        <v>4</v>
      </c>
    </row>
    <row r="38" spans="1:5" x14ac:dyDescent="0.35">
      <c r="A38" s="3" t="s">
        <v>668</v>
      </c>
      <c r="B38" s="3" t="s">
        <v>15</v>
      </c>
      <c r="C38" s="3" t="s">
        <v>14</v>
      </c>
      <c r="D38" s="3" t="s">
        <v>845</v>
      </c>
      <c r="E38" s="3">
        <v>5</v>
      </c>
    </row>
    <row r="39" spans="1:5" x14ac:dyDescent="0.35">
      <c r="A39" s="3" t="s">
        <v>665</v>
      </c>
      <c r="B39" s="3" t="s">
        <v>606</v>
      </c>
      <c r="C39" s="3" t="s">
        <v>67</v>
      </c>
      <c r="D39" s="3" t="s">
        <v>842</v>
      </c>
      <c r="E39" s="3">
        <v>4</v>
      </c>
    </row>
    <row r="40" spans="1:5" x14ac:dyDescent="0.35">
      <c r="A40" s="3" t="s">
        <v>661</v>
      </c>
      <c r="B40" s="3" t="s">
        <v>48</v>
      </c>
      <c r="C40" s="3" t="s">
        <v>101</v>
      </c>
      <c r="D40" s="3" t="s">
        <v>843</v>
      </c>
      <c r="E40" s="3">
        <v>5</v>
      </c>
    </row>
    <row r="41" spans="1:5" x14ac:dyDescent="0.35">
      <c r="A41" s="3" t="s">
        <v>664</v>
      </c>
      <c r="B41" s="3" t="s">
        <v>110</v>
      </c>
      <c r="C41" s="3" t="s">
        <v>109</v>
      </c>
      <c r="D41" s="3" t="s">
        <v>842</v>
      </c>
      <c r="E41" s="3">
        <v>2</v>
      </c>
    </row>
    <row r="42" spans="1:5" x14ac:dyDescent="0.35">
      <c r="A42" s="3" t="s">
        <v>671</v>
      </c>
      <c r="B42" s="3" t="s">
        <v>163</v>
      </c>
      <c r="C42" s="3" t="s">
        <v>161</v>
      </c>
      <c r="D42" s="3" t="s">
        <v>842</v>
      </c>
      <c r="E42" s="3">
        <v>3</v>
      </c>
    </row>
    <row r="43" spans="1:5" x14ac:dyDescent="0.35">
      <c r="A43" s="3" t="s">
        <v>666</v>
      </c>
      <c r="B43" s="3" t="s">
        <v>171</v>
      </c>
      <c r="C43" s="3" t="s">
        <v>170</v>
      </c>
      <c r="D43" s="3" t="s">
        <v>844</v>
      </c>
      <c r="E43" s="3">
        <v>4</v>
      </c>
    </row>
    <row r="44" spans="1:5" x14ac:dyDescent="0.35">
      <c r="A44" s="3" t="s">
        <v>672</v>
      </c>
      <c r="B44" s="3" t="s">
        <v>187</v>
      </c>
      <c r="C44" s="3" t="s">
        <v>186</v>
      </c>
      <c r="D44" s="3" t="s">
        <v>842</v>
      </c>
      <c r="E44" s="3">
        <v>1</v>
      </c>
    </row>
    <row r="45" spans="1:5" x14ac:dyDescent="0.35">
      <c r="A45" s="3" t="s">
        <v>662</v>
      </c>
      <c r="B45" s="3" t="s">
        <v>187</v>
      </c>
      <c r="C45" s="3" t="s">
        <v>208</v>
      </c>
      <c r="D45" s="3" t="s">
        <v>842</v>
      </c>
      <c r="E45" s="3">
        <v>4</v>
      </c>
    </row>
    <row r="46" spans="1:5" x14ac:dyDescent="0.35">
      <c r="A46" s="3" t="s">
        <v>669</v>
      </c>
      <c r="B46" s="3" t="s">
        <v>187</v>
      </c>
      <c r="C46" s="3" t="s">
        <v>207</v>
      </c>
      <c r="D46" s="3" t="s">
        <v>842</v>
      </c>
      <c r="E46" s="3">
        <v>1</v>
      </c>
    </row>
    <row r="47" spans="1:5" x14ac:dyDescent="0.35">
      <c r="A47" s="3" t="s">
        <v>667</v>
      </c>
      <c r="B47" s="3" t="s">
        <v>133</v>
      </c>
      <c r="C47" s="3" t="s">
        <v>222</v>
      </c>
      <c r="D47" s="3" t="s">
        <v>843</v>
      </c>
      <c r="E47" s="3">
        <v>4</v>
      </c>
    </row>
    <row r="48" spans="1:5" x14ac:dyDescent="0.35">
      <c r="A48" s="3" t="s">
        <v>629</v>
      </c>
      <c r="B48" s="3" t="s">
        <v>391</v>
      </c>
      <c r="C48" s="3" t="s">
        <v>426</v>
      </c>
      <c r="D48" s="3" t="s">
        <v>842</v>
      </c>
      <c r="E48" s="3">
        <v>6</v>
      </c>
    </row>
    <row r="49" spans="1:5" x14ac:dyDescent="0.35">
      <c r="A49" s="3" t="s">
        <v>670</v>
      </c>
      <c r="B49" s="3" t="s">
        <v>216</v>
      </c>
      <c r="C49" s="3" t="s">
        <v>270</v>
      </c>
      <c r="D49" s="3" t="s">
        <v>842</v>
      </c>
      <c r="E49" s="3">
        <v>7</v>
      </c>
    </row>
    <row r="50" spans="1:5" x14ac:dyDescent="0.35">
      <c r="A50" s="3" t="s">
        <v>663</v>
      </c>
      <c r="B50" s="3" t="s">
        <v>316</v>
      </c>
      <c r="C50" s="3" t="s">
        <v>315</v>
      </c>
      <c r="D50" s="3" t="s">
        <v>843</v>
      </c>
      <c r="E50" s="3">
        <v>7</v>
      </c>
    </row>
    <row r="51" spans="1:5" x14ac:dyDescent="0.35">
      <c r="A51" s="3" t="s">
        <v>628</v>
      </c>
      <c r="B51" s="3" t="s">
        <v>38</v>
      </c>
      <c r="C51" s="3" t="s">
        <v>118</v>
      </c>
      <c r="D51" s="3" t="s">
        <v>842</v>
      </c>
      <c r="E51" s="3">
        <v>5</v>
      </c>
    </row>
    <row r="52" spans="1:5" x14ac:dyDescent="0.35">
      <c r="A52" s="3" t="s">
        <v>627</v>
      </c>
      <c r="B52" s="3" t="s">
        <v>153</v>
      </c>
      <c r="C52" s="3" t="s">
        <v>154</v>
      </c>
      <c r="D52" s="3" t="s">
        <v>842</v>
      </c>
      <c r="E52" s="3">
        <v>1</v>
      </c>
    </row>
    <row r="53" spans="1:5" x14ac:dyDescent="0.35">
      <c r="A53" s="3" t="s">
        <v>530</v>
      </c>
      <c r="B53" s="3" t="s">
        <v>133</v>
      </c>
      <c r="C53" s="3" t="s">
        <v>132</v>
      </c>
      <c r="D53" s="3" t="s">
        <v>843</v>
      </c>
      <c r="E53" s="3">
        <v>4</v>
      </c>
    </row>
    <row r="54" spans="1:5" x14ac:dyDescent="0.35">
      <c r="A54" s="3" t="s">
        <v>895</v>
      </c>
      <c r="B54" t="s">
        <v>57</v>
      </c>
      <c r="C54" s="36" t="s">
        <v>912</v>
      </c>
      <c r="D54" s="36" t="s">
        <v>842</v>
      </c>
      <c r="E54" s="36">
        <v>3</v>
      </c>
    </row>
    <row r="55" spans="1:5" x14ac:dyDescent="0.35">
      <c r="A55" s="3" t="s">
        <v>896</v>
      </c>
      <c r="B55" s="3" t="s">
        <v>606</v>
      </c>
      <c r="C55" s="36" t="s">
        <v>913</v>
      </c>
      <c r="D55" t="s">
        <v>845</v>
      </c>
      <c r="E55">
        <v>4</v>
      </c>
    </row>
    <row r="56" spans="1:5" x14ac:dyDescent="0.35">
      <c r="A56" s="3" t="s">
        <v>897</v>
      </c>
      <c r="B56" s="3" t="s">
        <v>38</v>
      </c>
      <c r="C56" s="36" t="s">
        <v>914</v>
      </c>
      <c r="D56" t="s">
        <v>842</v>
      </c>
      <c r="E56">
        <v>4</v>
      </c>
    </row>
    <row r="57" spans="1:5" x14ac:dyDescent="0.35">
      <c r="A57" s="3" t="s">
        <v>898</v>
      </c>
      <c r="B57" s="3" t="s">
        <v>57</v>
      </c>
      <c r="C57" s="36" t="s">
        <v>915</v>
      </c>
      <c r="D57" t="s">
        <v>842</v>
      </c>
      <c r="E57">
        <v>8</v>
      </c>
    </row>
    <row r="58" spans="1:5" x14ac:dyDescent="0.35">
      <c r="A58" s="3" t="s">
        <v>899</v>
      </c>
      <c r="B58" s="3" t="s">
        <v>153</v>
      </c>
      <c r="C58" s="36" t="s">
        <v>916</v>
      </c>
      <c r="D58" t="s">
        <v>842</v>
      </c>
      <c r="E58">
        <v>3</v>
      </c>
    </row>
  </sheetData>
  <autoFilter ref="A1:E58" xr:uid="{F82C5788-0342-477F-988E-008BA752425C}"/>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8C4B-82DB-4140-9E99-451BA588C419}">
  <sheetPr>
    <tabColor theme="7" tint="-0.249977111117893"/>
  </sheetPr>
  <dimension ref="A1:B26"/>
  <sheetViews>
    <sheetView zoomScale="77" zoomScaleNormal="80" workbookViewId="0">
      <selection activeCell="A3" sqref="A3"/>
    </sheetView>
  </sheetViews>
  <sheetFormatPr defaultRowHeight="14.5" x14ac:dyDescent="0.35"/>
  <cols>
    <col min="1" max="1" width="20.1796875" customWidth="1"/>
  </cols>
  <sheetData>
    <row r="1" spans="1:2" s="17" customFormat="1" x14ac:dyDescent="0.35">
      <c r="A1" s="1" t="s">
        <v>607</v>
      </c>
      <c r="B1" s="1" t="s">
        <v>608</v>
      </c>
    </row>
    <row r="2" spans="1:2" x14ac:dyDescent="0.35">
      <c r="A2" s="3" t="s">
        <v>48</v>
      </c>
      <c r="B2" s="3">
        <f>COUNTIF(Extractions!$F$2:$F$58, $A2)</f>
        <v>8</v>
      </c>
    </row>
    <row r="3" spans="1:2" x14ac:dyDescent="0.35">
      <c r="A3" s="3" t="s">
        <v>606</v>
      </c>
      <c r="B3" s="3">
        <f>COUNTIF(Extractions!$F$2:$F$58, $A3)</f>
        <v>6</v>
      </c>
    </row>
    <row r="4" spans="1:2" x14ac:dyDescent="0.35">
      <c r="A4" s="3" t="s">
        <v>38</v>
      </c>
      <c r="B4" s="3">
        <f>COUNTIF(Extractions!$F$2:$F$58, $A4)</f>
        <v>5</v>
      </c>
    </row>
    <row r="5" spans="1:2" x14ac:dyDescent="0.35">
      <c r="A5" s="3" t="s">
        <v>110</v>
      </c>
      <c r="B5" s="3">
        <f>COUNTIF(Extractions!$F$2:$F$58, $A5)</f>
        <v>4</v>
      </c>
    </row>
    <row r="6" spans="1:2" x14ac:dyDescent="0.35">
      <c r="A6" s="3" t="s">
        <v>216</v>
      </c>
      <c r="B6" s="3">
        <f>COUNTIF(Extractions!$F$2:$F$58, $A6)</f>
        <v>3</v>
      </c>
    </row>
    <row r="7" spans="1:2" x14ac:dyDescent="0.35">
      <c r="A7" s="3" t="s">
        <v>187</v>
      </c>
      <c r="B7" s="3">
        <f>COUNTIF(Extractions!$F$2:$F$58, $A7)</f>
        <v>3</v>
      </c>
    </row>
    <row r="8" spans="1:2" x14ac:dyDescent="0.35">
      <c r="A8" s="3" t="s">
        <v>57</v>
      </c>
      <c r="B8" s="3">
        <f>COUNTIF(Extractions!$F$2:$F$58, $A8)</f>
        <v>3</v>
      </c>
    </row>
    <row r="9" spans="1:2" x14ac:dyDescent="0.35">
      <c r="A9" s="3" t="s">
        <v>27</v>
      </c>
      <c r="B9" s="3">
        <f>COUNTIF(Extractions!$F$2:$F$58, $A9)</f>
        <v>2</v>
      </c>
    </row>
    <row r="10" spans="1:2" x14ac:dyDescent="0.35">
      <c r="A10" s="3" t="s">
        <v>391</v>
      </c>
      <c r="B10" s="3">
        <f>COUNTIF(Extractions!$F$2:$F$58, $A10)</f>
        <v>2</v>
      </c>
    </row>
    <row r="11" spans="1:2" x14ac:dyDescent="0.35">
      <c r="A11" s="3" t="s">
        <v>171</v>
      </c>
      <c r="B11" s="3">
        <f>COUNTIF(Extractions!$F$2:$F$58, $A11)</f>
        <v>2</v>
      </c>
    </row>
    <row r="12" spans="1:2" x14ac:dyDescent="0.35">
      <c r="A12" s="3" t="s">
        <v>163</v>
      </c>
      <c r="B12" s="3">
        <f>COUNTIF(Extractions!$F$2:$F$58, $A12)</f>
        <v>2</v>
      </c>
    </row>
    <row r="13" spans="1:2" x14ac:dyDescent="0.35">
      <c r="A13" s="3" t="s">
        <v>280</v>
      </c>
      <c r="B13" s="3">
        <f>COUNTIF(Extractions!$F$2:$F$58, $A13)</f>
        <v>2</v>
      </c>
    </row>
    <row r="14" spans="1:2" x14ac:dyDescent="0.35">
      <c r="A14" s="3" t="s">
        <v>133</v>
      </c>
      <c r="B14" s="3">
        <f>COUNTIF(Extractions!$F$2:$F$58, $A14)</f>
        <v>2</v>
      </c>
    </row>
    <row r="15" spans="1:2" x14ac:dyDescent="0.35">
      <c r="A15" s="3" t="s">
        <v>153</v>
      </c>
      <c r="B15" s="3">
        <f>COUNTIF(Extractions!$F$2:$F$58, $A15)</f>
        <v>2</v>
      </c>
    </row>
    <row r="16" spans="1:2" x14ac:dyDescent="0.35">
      <c r="A16" s="3" t="s">
        <v>371</v>
      </c>
      <c r="B16" s="3">
        <f>COUNTIF(Extractions!$F$2:$F$58, $A16)</f>
        <v>1</v>
      </c>
    </row>
    <row r="17" spans="1:2" x14ac:dyDescent="0.35">
      <c r="A17" s="3" t="s">
        <v>77</v>
      </c>
      <c r="B17" s="3">
        <f>COUNTIF(Extractions!$F$2:$F$58, $A17)</f>
        <v>1</v>
      </c>
    </row>
    <row r="18" spans="1:2" x14ac:dyDescent="0.35">
      <c r="A18" s="3" t="s">
        <v>194</v>
      </c>
      <c r="B18" s="3">
        <f>COUNTIF(Extractions!$F$2:$F$58, $A18)</f>
        <v>1</v>
      </c>
    </row>
    <row r="19" spans="1:2" x14ac:dyDescent="0.35">
      <c r="A19" s="3" t="s">
        <v>408</v>
      </c>
      <c r="B19" s="3">
        <f>COUNTIF(Extractions!$F$2:$F$58, $A19)</f>
        <v>1</v>
      </c>
    </row>
    <row r="20" spans="1:2" x14ac:dyDescent="0.35">
      <c r="A20" s="3" t="s">
        <v>264</v>
      </c>
      <c r="B20" s="3">
        <f>COUNTIF(Extractions!$F$2:$F$58, $A20)</f>
        <v>1</v>
      </c>
    </row>
    <row r="21" spans="1:2" x14ac:dyDescent="0.35">
      <c r="A21" s="3" t="s">
        <v>346</v>
      </c>
      <c r="B21" s="3">
        <f>COUNTIF(Extractions!$F$2:$F$58, $A21)</f>
        <v>1</v>
      </c>
    </row>
    <row r="22" spans="1:2" x14ac:dyDescent="0.35">
      <c r="A22" s="3" t="s">
        <v>363</v>
      </c>
      <c r="B22" s="3">
        <f>COUNTIF(Extractions!$F$2:$F$58, $A22)</f>
        <v>1</v>
      </c>
    </row>
    <row r="23" spans="1:2" x14ac:dyDescent="0.35">
      <c r="A23" s="3" t="s">
        <v>382</v>
      </c>
      <c r="B23" s="3">
        <f>COUNTIF(Extractions!$F$2:$F$58, $A23)</f>
        <v>1</v>
      </c>
    </row>
    <row r="24" spans="1:2" x14ac:dyDescent="0.35">
      <c r="A24" s="3" t="s">
        <v>340</v>
      </c>
      <c r="B24" s="3">
        <f>COUNTIF(Extractions!$F$2:$F$58, $A24)</f>
        <v>1</v>
      </c>
    </row>
    <row r="25" spans="1:2" x14ac:dyDescent="0.35">
      <c r="A25" s="3" t="s">
        <v>15</v>
      </c>
      <c r="B25" s="3">
        <f>COUNTIF(Extractions!$F$2:$F$58, $A25)</f>
        <v>1</v>
      </c>
    </row>
    <row r="26" spans="1:2" x14ac:dyDescent="0.35">
      <c r="A26" s="3" t="s">
        <v>316</v>
      </c>
      <c r="B26" s="3">
        <f>COUNTIF(Extractions!$F$2:$F$58, $A26)</f>
        <v>1</v>
      </c>
    </row>
  </sheetData>
  <autoFilter ref="A1:B1" xr:uid="{63238C4B-82DB-4140-9E99-451BA588C419}">
    <sortState xmlns:xlrd2="http://schemas.microsoft.com/office/spreadsheetml/2017/richdata2" ref="A2:B26">
      <sortCondition descending="1" ref="B1"/>
    </sortState>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F0AE-E143-4AF7-8F73-D3E0B24D1B98}">
  <sheetPr>
    <tabColor theme="7" tint="-0.249977111117893"/>
  </sheetPr>
  <dimension ref="A1:B10"/>
  <sheetViews>
    <sheetView zoomScale="80" zoomScaleNormal="80" workbookViewId="0">
      <selection activeCell="D4" sqref="D4"/>
    </sheetView>
  </sheetViews>
  <sheetFormatPr defaultRowHeight="14.5" x14ac:dyDescent="0.35"/>
  <cols>
    <col min="1" max="1" width="17.6328125" customWidth="1"/>
  </cols>
  <sheetData>
    <row r="1" spans="1:2" s="17" customFormat="1" x14ac:dyDescent="0.35">
      <c r="A1" s="1" t="s">
        <v>604</v>
      </c>
      <c r="B1" s="1" t="s">
        <v>564</v>
      </c>
    </row>
    <row r="2" spans="1:2" x14ac:dyDescent="0.35">
      <c r="A2" s="3" t="s">
        <v>126</v>
      </c>
      <c r="B2" s="3">
        <f>COUNTIF(Extractions!$H$2:$H$58, $A2)</f>
        <v>19</v>
      </c>
    </row>
    <row r="3" spans="1:2" x14ac:dyDescent="0.35">
      <c r="A3" s="3" t="s">
        <v>102</v>
      </c>
      <c r="B3" s="3">
        <f>COUNTIF(Extractions!$H$2:$H$58, $A3)</f>
        <v>12</v>
      </c>
    </row>
    <row r="4" spans="1:2" x14ac:dyDescent="0.35">
      <c r="A4" s="3" t="s">
        <v>24</v>
      </c>
      <c r="B4" s="3">
        <f>COUNTIF(Extractions!$H$2:$H$58, $A4)</f>
        <v>11</v>
      </c>
    </row>
    <row r="5" spans="1:2" x14ac:dyDescent="0.35">
      <c r="A5" s="3" t="s">
        <v>134</v>
      </c>
      <c r="B5" s="3">
        <f>COUNTIF(Extractions!$H$2:$H$58, $A5)</f>
        <v>6</v>
      </c>
    </row>
    <row r="6" spans="1:2" x14ac:dyDescent="0.35">
      <c r="A6" s="5" t="s">
        <v>605</v>
      </c>
      <c r="B6" s="3">
        <f>COUNTIF(Extractions!$H$2:$H$58, $A6)</f>
        <v>4</v>
      </c>
    </row>
    <row r="7" spans="1:2" x14ac:dyDescent="0.35">
      <c r="A7" s="3" t="s">
        <v>13</v>
      </c>
      <c r="B7" s="3">
        <f>COUNTIF(Extractions!$H$2:$H$58, $A7)</f>
        <v>2</v>
      </c>
    </row>
    <row r="8" spans="1:2" x14ac:dyDescent="0.35">
      <c r="A8" s="3" t="s">
        <v>164</v>
      </c>
      <c r="B8" s="3">
        <f>COUNTIF(Extractions!$H$2:$H$58, $A8)</f>
        <v>1</v>
      </c>
    </row>
    <row r="9" spans="1:2" x14ac:dyDescent="0.35">
      <c r="A9" s="3" t="s">
        <v>172</v>
      </c>
      <c r="B9" s="3">
        <f>COUNTIF(Extractions!$H$2:$H$58, $A9)</f>
        <v>1</v>
      </c>
    </row>
    <row r="10" spans="1:2" x14ac:dyDescent="0.35">
      <c r="A10" s="3" t="s">
        <v>271</v>
      </c>
      <c r="B10" s="3">
        <f>COUNTIF(Extractions!$H$2:$H$58, $A10)</f>
        <v>1</v>
      </c>
    </row>
  </sheetData>
  <autoFilter ref="A1:B10" xr:uid="{284FF0AE-E143-4AF7-8F73-D3E0B24D1B98}">
    <sortState xmlns:xlrd2="http://schemas.microsoft.com/office/spreadsheetml/2017/richdata2" ref="A2:B10">
      <sortCondition descending="1" ref="B1:B10"/>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E946-6CB5-448B-97B6-DDB43FC27D2E}">
  <sheetPr>
    <tabColor theme="7" tint="-0.249977111117893"/>
  </sheetPr>
  <dimension ref="A1:G52"/>
  <sheetViews>
    <sheetView workbookViewId="0">
      <selection activeCell="A7" sqref="A7"/>
    </sheetView>
  </sheetViews>
  <sheetFormatPr defaultRowHeight="14.5" x14ac:dyDescent="0.35"/>
  <cols>
    <col min="1" max="1" width="91.81640625" customWidth="1"/>
    <col min="3" max="3" width="11.453125" customWidth="1"/>
  </cols>
  <sheetData>
    <row r="1" spans="1:7" s="17" customFormat="1" x14ac:dyDescent="0.35">
      <c r="A1" s="2" t="s">
        <v>840</v>
      </c>
      <c r="B1" s="1" t="s">
        <v>837</v>
      </c>
      <c r="C1" s="1" t="s">
        <v>564</v>
      </c>
    </row>
    <row r="2" spans="1:7" x14ac:dyDescent="0.35">
      <c r="A2" s="37" t="s">
        <v>593</v>
      </c>
      <c r="B2" s="3">
        <f>COUNTIF(Extractions!$I$2:$I$58, $A2)</f>
        <v>4</v>
      </c>
      <c r="C2" s="3" t="s">
        <v>917</v>
      </c>
      <c r="G2" s="3"/>
    </row>
    <row r="3" spans="1:7" x14ac:dyDescent="0.35">
      <c r="A3" s="3" t="s">
        <v>583</v>
      </c>
      <c r="B3" s="3">
        <f>COUNTIF(Extractions!$I$2:$I$58, $A3)</f>
        <v>2</v>
      </c>
      <c r="C3" s="3" t="s">
        <v>833</v>
      </c>
      <c r="G3" s="3"/>
    </row>
    <row r="4" spans="1:7" x14ac:dyDescent="0.35">
      <c r="A4" s="3" t="s">
        <v>567</v>
      </c>
      <c r="B4" s="3">
        <f>COUNTIF(Extractions!$I$2:$I$58, $A4)</f>
        <v>2</v>
      </c>
      <c r="C4" s="3" t="s">
        <v>834</v>
      </c>
      <c r="G4" s="3"/>
    </row>
    <row r="5" spans="1:7" x14ac:dyDescent="0.35">
      <c r="A5" s="3" t="s">
        <v>100</v>
      </c>
      <c r="B5" s="3">
        <f>COUNTIF(Extractions!$I$2:$I$58, $A5)</f>
        <v>2</v>
      </c>
      <c r="C5" s="3" t="s">
        <v>835</v>
      </c>
      <c r="G5" s="3"/>
    </row>
    <row r="6" spans="1:7" x14ac:dyDescent="0.35">
      <c r="A6" s="3" t="s">
        <v>573</v>
      </c>
      <c r="B6" s="3">
        <f>COUNTIF(Extractions!$I$2:$I$58, $A6)</f>
        <v>2</v>
      </c>
      <c r="C6" s="3" t="s">
        <v>836</v>
      </c>
      <c r="G6" s="3"/>
    </row>
    <row r="7" spans="1:7" x14ac:dyDescent="0.35">
      <c r="A7" s="37" t="s">
        <v>578</v>
      </c>
      <c r="B7" s="3">
        <f>COUNTIF(Extractions!$I$2:$I$58, $A7)</f>
        <v>2</v>
      </c>
      <c r="C7" s="3" t="s">
        <v>918</v>
      </c>
      <c r="G7" s="3"/>
    </row>
    <row r="8" spans="1:7" x14ac:dyDescent="0.35">
      <c r="A8" s="3" t="s">
        <v>603</v>
      </c>
      <c r="B8" s="3">
        <f>COUNTIF(Extractions!$I$2:$I$58, $A8)</f>
        <v>1</v>
      </c>
      <c r="C8" s="3" t="s">
        <v>647</v>
      </c>
      <c r="G8" s="3"/>
    </row>
    <row r="9" spans="1:7" x14ac:dyDescent="0.35">
      <c r="A9" s="3" t="s">
        <v>585</v>
      </c>
      <c r="B9" s="3">
        <f>COUNTIF(Extractions!$I$2:$I$58, $A9)</f>
        <v>1</v>
      </c>
      <c r="C9" s="3" t="s">
        <v>629</v>
      </c>
      <c r="G9" s="3"/>
    </row>
    <row r="10" spans="1:7" x14ac:dyDescent="0.35">
      <c r="A10" s="3" t="s">
        <v>364</v>
      </c>
      <c r="B10" s="3">
        <f>COUNTIF(Extractions!$I$2:$I$58, $A10)</f>
        <v>1</v>
      </c>
      <c r="C10" s="3" t="s">
        <v>650</v>
      </c>
      <c r="G10" s="3"/>
    </row>
    <row r="11" spans="1:7" x14ac:dyDescent="0.35">
      <c r="A11" s="3" t="s">
        <v>586</v>
      </c>
      <c r="B11" s="3">
        <f>COUNTIF(Extractions!$I$2:$I$58, $A11)</f>
        <v>1</v>
      </c>
      <c r="C11" s="3" t="s">
        <v>643</v>
      </c>
      <c r="G11" s="3"/>
    </row>
    <row r="12" spans="1:7" x14ac:dyDescent="0.35">
      <c r="A12" s="3" t="s">
        <v>587</v>
      </c>
      <c r="B12" s="3">
        <f>COUNTIF(Extractions!$I$2:$I$58, $A12)</f>
        <v>1</v>
      </c>
      <c r="C12" s="3" t="s">
        <v>640</v>
      </c>
      <c r="G12" s="3"/>
    </row>
    <row r="13" spans="1:7" x14ac:dyDescent="0.35">
      <c r="A13" s="3" t="s">
        <v>588</v>
      </c>
      <c r="B13" s="3">
        <f>COUNTIF(Extractions!$I$2:$I$58, $A13)</f>
        <v>1</v>
      </c>
      <c r="C13" s="3" t="s">
        <v>644</v>
      </c>
      <c r="G13" s="3"/>
    </row>
    <row r="14" spans="1:7" x14ac:dyDescent="0.35">
      <c r="A14" s="3" t="s">
        <v>589</v>
      </c>
      <c r="B14" s="3">
        <f>COUNTIF(Extractions!$I$2:$I$58, $A14)</f>
        <v>1</v>
      </c>
      <c r="C14" s="3" t="s">
        <v>642</v>
      </c>
      <c r="G14" s="3"/>
    </row>
    <row r="15" spans="1:7" x14ac:dyDescent="0.35">
      <c r="A15" s="3" t="s">
        <v>590</v>
      </c>
      <c r="B15" s="3">
        <f>COUNTIF(Extractions!$I$2:$I$58, $A15)</f>
        <v>1</v>
      </c>
      <c r="C15" s="3" t="s">
        <v>651</v>
      </c>
      <c r="G15" s="3"/>
    </row>
    <row r="16" spans="1:7" x14ac:dyDescent="0.35">
      <c r="A16" s="3" t="s">
        <v>591</v>
      </c>
      <c r="B16" s="3">
        <f>COUNTIF(Extractions!$I$2:$I$58, $A16)</f>
        <v>1</v>
      </c>
      <c r="C16" s="3" t="s">
        <v>652</v>
      </c>
      <c r="G16" s="3"/>
    </row>
    <row r="17" spans="1:7" x14ac:dyDescent="0.35">
      <c r="A17" s="3" t="s">
        <v>592</v>
      </c>
      <c r="B17" s="3">
        <f>COUNTIF(Extractions!$I$2:$I$58, $A17)</f>
        <v>1</v>
      </c>
      <c r="C17" s="3" t="s">
        <v>645</v>
      </c>
      <c r="G17" s="3"/>
    </row>
    <row r="18" spans="1:7" x14ac:dyDescent="0.35">
      <c r="A18" s="3" t="s">
        <v>581</v>
      </c>
      <c r="B18" s="3">
        <f>COUNTIF(Extractions!$I$2:$I$58, $A18)</f>
        <v>1</v>
      </c>
      <c r="C18" s="3" t="s">
        <v>664</v>
      </c>
      <c r="G18" s="3"/>
    </row>
    <row r="19" spans="1:7" x14ac:dyDescent="0.35">
      <c r="A19" s="3" t="s">
        <v>580</v>
      </c>
      <c r="B19" s="3">
        <f>COUNTIF(Extractions!$I$2:$I$58, $A19)</f>
        <v>1</v>
      </c>
      <c r="C19" s="3" t="s">
        <v>659</v>
      </c>
      <c r="G19" s="3"/>
    </row>
    <row r="20" spans="1:7" x14ac:dyDescent="0.35">
      <c r="A20" s="3" t="s">
        <v>49</v>
      </c>
      <c r="B20" s="3">
        <f>COUNTIF(Extractions!$I$2:$I$58, $A20)</f>
        <v>1</v>
      </c>
      <c r="C20" s="3" t="s">
        <v>634</v>
      </c>
      <c r="G20" s="3"/>
    </row>
    <row r="21" spans="1:7" x14ac:dyDescent="0.35">
      <c r="A21" s="3" t="s">
        <v>582</v>
      </c>
      <c r="B21" s="3">
        <f>COUNTIF(Extractions!$I$2:$I$58, $A21)</f>
        <v>1</v>
      </c>
      <c r="C21" s="3" t="s">
        <v>660</v>
      </c>
      <c r="G21" s="3"/>
    </row>
    <row r="22" spans="1:7" x14ac:dyDescent="0.35">
      <c r="A22" s="3" t="s">
        <v>584</v>
      </c>
      <c r="B22" s="3">
        <f>COUNTIF(Extractions!$I$2:$I$58, $A22)</f>
        <v>1</v>
      </c>
      <c r="C22" s="3" t="s">
        <v>666</v>
      </c>
      <c r="G22" s="3"/>
    </row>
    <row r="23" spans="1:7" x14ac:dyDescent="0.35">
      <c r="A23" s="3" t="s">
        <v>579</v>
      </c>
      <c r="B23" s="3">
        <f>COUNTIF(Extractions!$I$2:$I$58, $A23)</f>
        <v>1</v>
      </c>
      <c r="C23" s="3" t="s">
        <v>655</v>
      </c>
      <c r="G23" s="3"/>
    </row>
    <row r="24" spans="1:7" x14ac:dyDescent="0.35">
      <c r="A24" s="3" t="s">
        <v>577</v>
      </c>
      <c r="B24" s="3">
        <f>COUNTIF(Extractions!$I$2:$I$58, $A24)</f>
        <v>1</v>
      </c>
      <c r="C24" s="3" t="s">
        <v>669</v>
      </c>
      <c r="G24" s="3"/>
    </row>
    <row r="25" spans="1:7" x14ac:dyDescent="0.35">
      <c r="A25" s="3" t="s">
        <v>236</v>
      </c>
      <c r="B25" s="3">
        <f>COUNTIF(Extractions!$I$2:$I$58, $A25)</f>
        <v>1</v>
      </c>
      <c r="C25" s="3" t="s">
        <v>641</v>
      </c>
      <c r="G25" s="3"/>
    </row>
    <row r="26" spans="1:7" x14ac:dyDescent="0.35">
      <c r="A26" s="3" t="s">
        <v>594</v>
      </c>
      <c r="B26" s="3">
        <f>COUNTIF(Extractions!$I$2:$I$58, $A26)</f>
        <v>1</v>
      </c>
      <c r="C26" s="3" t="s">
        <v>649</v>
      </c>
      <c r="G26" s="3"/>
    </row>
    <row r="27" spans="1:7" x14ac:dyDescent="0.35">
      <c r="A27" s="3" t="s">
        <v>595</v>
      </c>
      <c r="B27" s="3">
        <f>COUNTIF(Extractions!$I$2:$I$58, $A27)</f>
        <v>1</v>
      </c>
      <c r="C27" s="3" t="s">
        <v>636</v>
      </c>
      <c r="G27" s="3"/>
    </row>
    <row r="28" spans="1:7" x14ac:dyDescent="0.35">
      <c r="A28" s="3" t="s">
        <v>566</v>
      </c>
      <c r="B28" s="3">
        <f>COUNTIF(Extractions!$I$2:$I$58, $A28)</f>
        <v>1</v>
      </c>
      <c r="C28" s="3" t="s">
        <v>626</v>
      </c>
      <c r="G28" s="3"/>
    </row>
    <row r="29" spans="1:7" x14ac:dyDescent="0.35">
      <c r="A29" s="3" t="s">
        <v>596</v>
      </c>
      <c r="B29" s="3">
        <f>COUNTIF(Extractions!$I$2:$I$58, $A29)</f>
        <v>1</v>
      </c>
      <c r="C29" s="3" t="s">
        <v>635</v>
      </c>
      <c r="G29" s="3"/>
    </row>
    <row r="30" spans="1:7" x14ac:dyDescent="0.35">
      <c r="A30" s="3" t="s">
        <v>597</v>
      </c>
      <c r="B30" s="3">
        <f>COUNTIF(Extractions!$I$2:$I$58, $A30)</f>
        <v>1</v>
      </c>
      <c r="C30" s="3" t="s">
        <v>631</v>
      </c>
      <c r="G30" s="3"/>
    </row>
    <row r="31" spans="1:7" x14ac:dyDescent="0.35">
      <c r="A31" s="3" t="s">
        <v>598</v>
      </c>
      <c r="B31" s="3">
        <f>COUNTIF(Extractions!$I$2:$I$58, $A31)</f>
        <v>1</v>
      </c>
      <c r="C31" s="3" t="s">
        <v>630</v>
      </c>
      <c r="G31" s="3"/>
    </row>
    <row r="32" spans="1:7" x14ac:dyDescent="0.35">
      <c r="A32" s="3" t="s">
        <v>569</v>
      </c>
      <c r="B32" s="3">
        <f>COUNTIF(Extractions!$I$2:$I$58, $A32)</f>
        <v>1</v>
      </c>
      <c r="C32" s="3" t="s">
        <v>653</v>
      </c>
      <c r="G32" s="3"/>
    </row>
    <row r="33" spans="1:7" x14ac:dyDescent="0.35">
      <c r="A33" s="3" t="s">
        <v>599</v>
      </c>
      <c r="B33" s="3">
        <f>COUNTIF(Extractions!$I$2:$I$58, $A33)</f>
        <v>1</v>
      </c>
      <c r="C33" s="3" t="s">
        <v>625</v>
      </c>
      <c r="G33" s="3"/>
    </row>
    <row r="34" spans="1:7" x14ac:dyDescent="0.35">
      <c r="A34" s="3" t="s">
        <v>600</v>
      </c>
      <c r="B34" s="3">
        <f>COUNTIF(Extractions!$I$2:$I$58, $A34)</f>
        <v>1</v>
      </c>
      <c r="C34" s="3" t="s">
        <v>670</v>
      </c>
      <c r="G34" s="3"/>
    </row>
    <row r="35" spans="1:7" x14ac:dyDescent="0.35">
      <c r="A35" s="3" t="s">
        <v>601</v>
      </c>
      <c r="B35" s="3">
        <f>COUNTIF(Extractions!$I$2:$I$58, $A35)</f>
        <v>1</v>
      </c>
      <c r="C35" s="3" t="s">
        <v>646</v>
      </c>
      <c r="G35" s="3"/>
    </row>
    <row r="36" spans="1:7" x14ac:dyDescent="0.35">
      <c r="A36" s="3" t="s">
        <v>570</v>
      </c>
      <c r="B36" s="3">
        <f>COUNTIF(Extractions!$I$2:$I$58, $A36)</f>
        <v>1</v>
      </c>
      <c r="C36" s="3" t="s">
        <v>672</v>
      </c>
      <c r="G36" s="3"/>
    </row>
    <row r="37" spans="1:7" x14ac:dyDescent="0.35">
      <c r="A37" s="3" t="s">
        <v>602</v>
      </c>
      <c r="B37" s="3">
        <f>COUNTIF(Extractions!$I$2:$I$58, $A37)</f>
        <v>1</v>
      </c>
      <c r="C37" s="3" t="s">
        <v>639</v>
      </c>
      <c r="G37" s="3"/>
    </row>
    <row r="38" spans="1:7" x14ac:dyDescent="0.35">
      <c r="A38" s="3" t="s">
        <v>571</v>
      </c>
      <c r="B38" s="3">
        <f>COUNTIF(Extractions!$I$2:$I$58, $A38)</f>
        <v>1</v>
      </c>
      <c r="C38" s="3" t="s">
        <v>668</v>
      </c>
      <c r="G38" s="3"/>
    </row>
    <row r="39" spans="1:7" x14ac:dyDescent="0.35">
      <c r="A39" s="3" t="s">
        <v>332</v>
      </c>
      <c r="B39" s="3">
        <f>COUNTIF(Extractions!$I$2:$I$58, $A39)</f>
        <v>1</v>
      </c>
      <c r="C39" s="3" t="s">
        <v>654</v>
      </c>
      <c r="G39" s="3"/>
    </row>
    <row r="40" spans="1:7" x14ac:dyDescent="0.35">
      <c r="A40" s="3" t="s">
        <v>162</v>
      </c>
      <c r="B40" s="3">
        <f>COUNTIF(Extractions!$I$2:$I$58, $A40)</f>
        <v>1</v>
      </c>
      <c r="C40" s="3" t="s">
        <v>671</v>
      </c>
      <c r="G40" s="3"/>
    </row>
    <row r="41" spans="1:7" x14ac:dyDescent="0.35">
      <c r="A41" s="3" t="s">
        <v>281</v>
      </c>
      <c r="B41" s="3">
        <f>COUNTIF(Extractions!$I$2:$I$58, $A41)</f>
        <v>1</v>
      </c>
      <c r="C41" s="3" t="s">
        <v>656</v>
      </c>
      <c r="G41" s="3"/>
    </row>
    <row r="42" spans="1:7" x14ac:dyDescent="0.35">
      <c r="A42" s="3" t="s">
        <v>572</v>
      </c>
      <c r="B42" s="3">
        <f>COUNTIF(Extractions!$I$2:$I$58, $A42)</f>
        <v>1</v>
      </c>
      <c r="C42" s="3" t="s">
        <v>623</v>
      </c>
      <c r="G42" s="3"/>
    </row>
    <row r="43" spans="1:7" x14ac:dyDescent="0.35">
      <c r="A43" s="3" t="s">
        <v>58</v>
      </c>
      <c r="B43" s="3">
        <f>COUNTIF(Extractions!$I$2:$I$58, $A43)</f>
        <v>1</v>
      </c>
      <c r="C43" s="3" t="s">
        <v>622</v>
      </c>
      <c r="G43" s="3"/>
    </row>
    <row r="44" spans="1:7" x14ac:dyDescent="0.35">
      <c r="A44" s="3" t="s">
        <v>195</v>
      </c>
      <c r="B44" s="3">
        <f>COUNTIF(Extractions!$I$2:$I$58, $A44)</f>
        <v>1</v>
      </c>
      <c r="C44" s="3" t="s">
        <v>633</v>
      </c>
      <c r="G44" s="3"/>
    </row>
    <row r="45" spans="1:7" x14ac:dyDescent="0.35">
      <c r="A45" s="3" t="s">
        <v>574</v>
      </c>
      <c r="B45" s="3">
        <f>COUNTIF(Extractions!$I$2:$I$58, $A45)</f>
        <v>1</v>
      </c>
      <c r="C45" s="3" t="s">
        <v>658</v>
      </c>
      <c r="G45" s="3"/>
    </row>
    <row r="46" spans="1:7" x14ac:dyDescent="0.35">
      <c r="A46" s="3" t="s">
        <v>575</v>
      </c>
      <c r="B46" s="3">
        <f>COUNTIF(Extractions!$I$2:$I$58, $A46)</f>
        <v>1</v>
      </c>
      <c r="C46" s="3" t="s">
        <v>665</v>
      </c>
      <c r="G46" s="3"/>
    </row>
    <row r="47" spans="1:7" x14ac:dyDescent="0.35">
      <c r="A47" s="3" t="s">
        <v>576</v>
      </c>
      <c r="B47" s="3">
        <f>COUNTIF(Extractions!$I$2:$I$58, $A47)</f>
        <v>1</v>
      </c>
      <c r="C47" s="3" t="s">
        <v>662</v>
      </c>
      <c r="G47" s="3"/>
    </row>
    <row r="48" spans="1:7" x14ac:dyDescent="0.35">
      <c r="A48" s="36" t="s">
        <v>861</v>
      </c>
      <c r="B48" s="3">
        <f>COUNTIF(Extractions!$I$2:$I$58, $A48)</f>
        <v>1</v>
      </c>
      <c r="C48" s="36" t="s">
        <v>895</v>
      </c>
      <c r="G48" s="3"/>
    </row>
    <row r="49" spans="1:7" x14ac:dyDescent="0.35">
      <c r="A49" s="36" t="s">
        <v>900</v>
      </c>
      <c r="B49" s="3">
        <f>COUNTIF(Extractions!$I$2:$I$58, $A49)</f>
        <v>1</v>
      </c>
      <c r="C49" s="36" t="s">
        <v>896</v>
      </c>
      <c r="G49" s="3"/>
    </row>
    <row r="50" spans="1:7" x14ac:dyDescent="0.35">
      <c r="A50" s="36" t="s">
        <v>888</v>
      </c>
      <c r="B50" s="3">
        <f>COUNTIF(Extractions!$I$2:$I$58, $A50)</f>
        <v>1</v>
      </c>
      <c r="C50" s="36" t="s">
        <v>898</v>
      </c>
      <c r="G50" s="3"/>
    </row>
    <row r="51" spans="1:7" x14ac:dyDescent="0.35">
      <c r="G51" s="3"/>
    </row>
    <row r="52" spans="1:7" x14ac:dyDescent="0.35">
      <c r="G52" s="3"/>
    </row>
  </sheetData>
  <autoFilter ref="A1:D1" xr:uid="{3A53E946-6CB5-448B-97B6-DDB43FC27D2E}">
    <sortState xmlns:xlrd2="http://schemas.microsoft.com/office/spreadsheetml/2017/richdata2" ref="A2:D50">
      <sortCondition descending="1" ref="B1"/>
    </sortState>
  </autoFilter>
  <sortState xmlns:xlrd2="http://schemas.microsoft.com/office/spreadsheetml/2017/richdata2" ref="A2:A38">
    <sortCondition ref="A2:A3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B4AA-E2B4-4521-B6C3-B16B08F6D464}">
  <sheetPr>
    <tabColor theme="7" tint="-0.249977111117893"/>
  </sheetPr>
  <dimension ref="A1:C10"/>
  <sheetViews>
    <sheetView zoomScale="85" zoomScaleNormal="85" workbookViewId="0">
      <selection activeCell="C15" sqref="C15"/>
    </sheetView>
  </sheetViews>
  <sheetFormatPr defaultRowHeight="14.5" x14ac:dyDescent="0.35"/>
  <cols>
    <col min="2" max="2" width="23.90625" customWidth="1"/>
  </cols>
  <sheetData>
    <row r="1" spans="1:3" x14ac:dyDescent="0.35">
      <c r="A1" s="14" t="s">
        <v>3</v>
      </c>
      <c r="B1" s="13" t="s">
        <v>424</v>
      </c>
      <c r="C1" s="10"/>
    </row>
    <row r="2" spans="1:3" x14ac:dyDescent="0.35">
      <c r="A2" s="15">
        <v>2019</v>
      </c>
      <c r="B2" s="3">
        <f>COUNTIF(Extractions!$E$2:$E$58, $A2)</f>
        <v>9</v>
      </c>
      <c r="C2" s="16"/>
    </row>
    <row r="3" spans="1:3" x14ac:dyDescent="0.35">
      <c r="A3" s="15">
        <v>2020</v>
      </c>
      <c r="B3" s="3">
        <f>COUNTIF(Extractions!$E$2:$E$58, $A3)</f>
        <v>6</v>
      </c>
    </row>
    <row r="4" spans="1:3" x14ac:dyDescent="0.35">
      <c r="A4" s="15">
        <v>2021</v>
      </c>
      <c r="B4" s="3">
        <f>COUNTIF(Extractions!$E$2:$E$58, $A4)</f>
        <v>10</v>
      </c>
    </row>
    <row r="5" spans="1:3" x14ac:dyDescent="0.35">
      <c r="A5" s="15">
        <v>2022</v>
      </c>
      <c r="B5" s="3">
        <f>COUNTIF(Extractions!$E$2:$E$58, $A5)</f>
        <v>4</v>
      </c>
    </row>
    <row r="6" spans="1:3" x14ac:dyDescent="0.35">
      <c r="A6" s="15">
        <v>2023</v>
      </c>
      <c r="B6" s="3">
        <f>COUNTIF(Extractions!$E$2:$E$58, $A6)</f>
        <v>9</v>
      </c>
    </row>
    <row r="7" spans="1:3" x14ac:dyDescent="0.35">
      <c r="A7" s="15">
        <v>2024</v>
      </c>
      <c r="B7" s="3">
        <f>COUNTIF(Extractions!$E$2:$E$58, $A7)</f>
        <v>4</v>
      </c>
    </row>
    <row r="8" spans="1:3" x14ac:dyDescent="0.35">
      <c r="A8" s="15">
        <v>2025</v>
      </c>
      <c r="B8" s="3">
        <f>COUNTIF(Extractions!$E$2:$E$58, $A8)</f>
        <v>9</v>
      </c>
    </row>
    <row r="9" spans="1:3" x14ac:dyDescent="0.35">
      <c r="A9" s="15">
        <v>2026</v>
      </c>
      <c r="B9" s="3">
        <f>COUNTIF(Extractions!$E$2:$E$58, $A9)</f>
        <v>6</v>
      </c>
    </row>
    <row r="10" spans="1:3" x14ac:dyDescent="0.35">
      <c r="A10" s="12" t="s">
        <v>423</v>
      </c>
      <c r="B10" s="11">
        <f>SUM(B2:B9)</f>
        <v>57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4DC4-FB87-4D0D-AC60-3A3B96F3BB4B}">
  <sheetPr>
    <tabColor rgb="FFFF0000"/>
  </sheetPr>
  <dimension ref="A1:G58"/>
  <sheetViews>
    <sheetView workbookViewId="0">
      <selection activeCell="B5" sqref="B5"/>
    </sheetView>
  </sheetViews>
  <sheetFormatPr defaultRowHeight="14.5" x14ac:dyDescent="0.35"/>
  <cols>
    <col min="1" max="1" width="10.453125" customWidth="1"/>
    <col min="2" max="2" width="15.36328125" customWidth="1"/>
    <col min="3" max="3" width="13.26953125" customWidth="1"/>
  </cols>
  <sheetData>
    <row r="1" spans="1:7" s="17" customFormat="1" x14ac:dyDescent="0.35">
      <c r="A1" s="17" t="s">
        <v>931</v>
      </c>
      <c r="B1" s="17" t="s">
        <v>620</v>
      </c>
      <c r="C1" s="17" t="s">
        <v>32</v>
      </c>
    </row>
    <row r="2" spans="1:7" x14ac:dyDescent="0.35">
      <c r="A2" s="3" t="s">
        <v>630</v>
      </c>
      <c r="B2" s="3" t="s">
        <v>534</v>
      </c>
      <c r="C2" s="3" t="s">
        <v>34</v>
      </c>
    </row>
    <row r="3" spans="1:7" x14ac:dyDescent="0.35">
      <c r="A3" s="3" t="s">
        <v>623</v>
      </c>
      <c r="B3" s="3" t="s">
        <v>537</v>
      </c>
      <c r="C3" s="3" t="s">
        <v>39</v>
      </c>
    </row>
    <row r="4" spans="1:7" x14ac:dyDescent="0.35">
      <c r="A4" s="3" t="s">
        <v>634</v>
      </c>
      <c r="B4" s="3" t="s">
        <v>539</v>
      </c>
      <c r="C4" s="3" t="s">
        <v>50</v>
      </c>
    </row>
    <row r="5" spans="1:7" x14ac:dyDescent="0.35">
      <c r="A5" s="4" t="s">
        <v>622</v>
      </c>
      <c r="B5" s="4" t="s">
        <v>930</v>
      </c>
      <c r="C5" s="3" t="s">
        <v>59</v>
      </c>
    </row>
    <row r="6" spans="1:7" x14ac:dyDescent="0.35">
      <c r="A6" s="3" t="s">
        <v>635</v>
      </c>
      <c r="B6" s="3" t="s">
        <v>543</v>
      </c>
      <c r="C6" s="3" t="s">
        <v>392</v>
      </c>
    </row>
    <row r="7" spans="1:7" x14ac:dyDescent="0.35">
      <c r="A7" s="3" t="s">
        <v>632</v>
      </c>
      <c r="B7" s="3" t="s">
        <v>545</v>
      </c>
      <c r="C7" s="3" t="s">
        <v>718</v>
      </c>
    </row>
    <row r="8" spans="1:7" x14ac:dyDescent="0.35">
      <c r="A8" s="3" t="s">
        <v>631</v>
      </c>
      <c r="B8" s="3" t="s">
        <v>548</v>
      </c>
      <c r="C8" s="3" t="s">
        <v>83</v>
      </c>
    </row>
    <row r="9" spans="1:7" x14ac:dyDescent="0.35">
      <c r="A9" s="3" t="s">
        <v>626</v>
      </c>
      <c r="B9" s="3" t="s">
        <v>551</v>
      </c>
      <c r="C9" s="3" t="s">
        <v>91</v>
      </c>
    </row>
    <row r="10" spans="1:7" x14ac:dyDescent="0.35">
      <c r="A10" s="3" t="s">
        <v>624</v>
      </c>
      <c r="B10" s="3" t="s">
        <v>552</v>
      </c>
      <c r="C10" s="3" t="s">
        <v>96</v>
      </c>
    </row>
    <row r="11" spans="1:7" x14ac:dyDescent="0.35">
      <c r="A11" s="3" t="s">
        <v>633</v>
      </c>
      <c r="B11" s="3" t="s">
        <v>609</v>
      </c>
      <c r="C11" s="3" t="s">
        <v>816</v>
      </c>
      <c r="E11" s="11" t="s">
        <v>620</v>
      </c>
      <c r="F11" s="11" t="s">
        <v>621</v>
      </c>
      <c r="G11" s="11" t="s">
        <v>564</v>
      </c>
    </row>
    <row r="12" spans="1:7" x14ac:dyDescent="0.35">
      <c r="A12" s="3" t="s">
        <v>625</v>
      </c>
      <c r="B12" s="3" t="s">
        <v>555</v>
      </c>
      <c r="C12" s="3" t="s">
        <v>372</v>
      </c>
      <c r="E12" s="11" t="s">
        <v>618</v>
      </c>
      <c r="F12" s="11">
        <v>15</v>
      </c>
      <c r="G12" s="11" t="s">
        <v>950</v>
      </c>
    </row>
    <row r="13" spans="1:7" x14ac:dyDescent="0.35">
      <c r="A13" s="3" t="s">
        <v>636</v>
      </c>
      <c r="B13" s="3" t="s">
        <v>559</v>
      </c>
      <c r="C13" s="3" t="s">
        <v>124</v>
      </c>
      <c r="E13" s="11" t="s">
        <v>615</v>
      </c>
      <c r="F13" s="11">
        <v>14</v>
      </c>
      <c r="G13" s="11" t="s">
        <v>951</v>
      </c>
    </row>
    <row r="14" spans="1:7" x14ac:dyDescent="0.35">
      <c r="A14" s="3" t="s">
        <v>642</v>
      </c>
      <c r="B14" s="3" t="s">
        <v>560</v>
      </c>
      <c r="C14" s="3" t="s">
        <v>141</v>
      </c>
      <c r="E14" s="11" t="s">
        <v>616</v>
      </c>
      <c r="F14" s="11">
        <v>12</v>
      </c>
      <c r="G14" s="11" t="s">
        <v>952</v>
      </c>
    </row>
    <row r="15" spans="1:7" x14ac:dyDescent="0.35">
      <c r="A15" s="3" t="s">
        <v>644</v>
      </c>
      <c r="B15" s="3" t="s">
        <v>562</v>
      </c>
      <c r="C15" s="3" t="s">
        <v>149</v>
      </c>
      <c r="E15" s="11" t="s">
        <v>619</v>
      </c>
      <c r="F15" s="11">
        <v>11</v>
      </c>
      <c r="G15" s="11" t="s">
        <v>953</v>
      </c>
    </row>
    <row r="16" spans="1:7" x14ac:dyDescent="0.35">
      <c r="A16" s="3" t="s">
        <v>647</v>
      </c>
      <c r="B16" s="3" t="s">
        <v>524</v>
      </c>
      <c r="C16" s="3" t="s">
        <v>180</v>
      </c>
      <c r="E16" s="11" t="s">
        <v>617</v>
      </c>
      <c r="F16" s="11">
        <v>5</v>
      </c>
      <c r="G16" s="11" t="s">
        <v>954</v>
      </c>
    </row>
    <row r="17" spans="1:3" x14ac:dyDescent="0.35">
      <c r="A17" s="3" t="s">
        <v>651</v>
      </c>
      <c r="B17" s="3" t="s">
        <v>510</v>
      </c>
      <c r="C17" s="3" t="s">
        <v>217</v>
      </c>
    </row>
    <row r="18" spans="1:3" x14ac:dyDescent="0.35">
      <c r="A18" s="3" t="s">
        <v>648</v>
      </c>
      <c r="B18" s="3" t="s">
        <v>509</v>
      </c>
      <c r="C18" s="3" t="s">
        <v>409</v>
      </c>
    </row>
    <row r="19" spans="1:3" x14ac:dyDescent="0.35">
      <c r="A19" s="3" t="s">
        <v>638</v>
      </c>
      <c r="B19" s="3" t="s">
        <v>508</v>
      </c>
      <c r="C19" s="3" t="s">
        <v>402</v>
      </c>
    </row>
    <row r="20" spans="1:3" x14ac:dyDescent="0.35">
      <c r="A20" s="3" t="s">
        <v>639</v>
      </c>
      <c r="B20" s="3" t="s">
        <v>507</v>
      </c>
      <c r="C20" s="3" t="s">
        <v>230</v>
      </c>
    </row>
    <row r="21" spans="1:3" x14ac:dyDescent="0.35">
      <c r="A21" s="3" t="s">
        <v>641</v>
      </c>
      <c r="B21" s="3" t="s">
        <v>506</v>
      </c>
      <c r="C21" s="3" t="s">
        <v>239</v>
      </c>
    </row>
    <row r="22" spans="1:3" x14ac:dyDescent="0.35">
      <c r="A22" s="3" t="s">
        <v>637</v>
      </c>
      <c r="B22" s="3" t="s">
        <v>505</v>
      </c>
      <c r="C22" s="3" t="s">
        <v>250</v>
      </c>
    </row>
    <row r="23" spans="1:3" x14ac:dyDescent="0.35">
      <c r="A23" s="3" t="s">
        <v>643</v>
      </c>
      <c r="B23" s="3" t="s">
        <v>504</v>
      </c>
      <c r="C23" s="3" t="s">
        <v>258</v>
      </c>
    </row>
    <row r="24" spans="1:3" x14ac:dyDescent="0.35">
      <c r="A24" s="3" t="s">
        <v>640</v>
      </c>
      <c r="B24" s="3" t="s">
        <v>503</v>
      </c>
      <c r="C24" s="3" t="s">
        <v>265</v>
      </c>
    </row>
    <row r="25" spans="1:3" x14ac:dyDescent="0.35">
      <c r="A25" s="3" t="s">
        <v>646</v>
      </c>
      <c r="B25" s="3" t="s">
        <v>502</v>
      </c>
      <c r="C25" s="3" t="s">
        <v>288</v>
      </c>
    </row>
    <row r="26" spans="1:3" x14ac:dyDescent="0.35">
      <c r="A26" s="3" t="s">
        <v>649</v>
      </c>
      <c r="B26" s="3" t="s">
        <v>501</v>
      </c>
      <c r="C26" s="3" t="s">
        <v>295</v>
      </c>
    </row>
    <row r="27" spans="1:3" x14ac:dyDescent="0.35">
      <c r="A27" s="3" t="s">
        <v>645</v>
      </c>
      <c r="B27" s="3" t="s">
        <v>500</v>
      </c>
      <c r="C27" s="3" t="s">
        <v>325</v>
      </c>
    </row>
    <row r="28" spans="1:3" x14ac:dyDescent="0.35">
      <c r="A28" s="3" t="s">
        <v>652</v>
      </c>
      <c r="B28" s="3" t="s">
        <v>499</v>
      </c>
      <c r="C28" s="3" t="s">
        <v>347</v>
      </c>
    </row>
    <row r="29" spans="1:3" x14ac:dyDescent="0.35">
      <c r="A29" s="3" t="s">
        <v>650</v>
      </c>
      <c r="B29" s="3" t="s">
        <v>498</v>
      </c>
      <c r="C29" s="3" t="s">
        <v>360</v>
      </c>
    </row>
    <row r="30" spans="1:3" x14ac:dyDescent="0.35">
      <c r="A30" s="3" t="s">
        <v>653</v>
      </c>
      <c r="B30" s="3" t="s">
        <v>497</v>
      </c>
      <c r="C30" s="3" t="s">
        <v>244</v>
      </c>
    </row>
    <row r="31" spans="1:3" x14ac:dyDescent="0.35">
      <c r="A31" s="3" t="s">
        <v>656</v>
      </c>
      <c r="B31" s="3" t="s">
        <v>496</v>
      </c>
      <c r="C31" s="3" t="s">
        <v>282</v>
      </c>
    </row>
    <row r="32" spans="1:3" x14ac:dyDescent="0.35">
      <c r="A32" s="3" t="s">
        <v>655</v>
      </c>
      <c r="B32" s="3" t="s">
        <v>495</v>
      </c>
      <c r="C32" s="3" t="s">
        <v>304</v>
      </c>
    </row>
    <row r="33" spans="1:3" x14ac:dyDescent="0.35">
      <c r="A33" s="3" t="s">
        <v>658</v>
      </c>
      <c r="B33" s="3" t="s">
        <v>494</v>
      </c>
      <c r="C33" s="3" t="s">
        <v>611</v>
      </c>
    </row>
    <row r="34" spans="1:3" x14ac:dyDescent="0.35">
      <c r="A34" s="3" t="s">
        <v>660</v>
      </c>
      <c r="B34" s="3" t="s">
        <v>493</v>
      </c>
      <c r="C34" s="3" t="s">
        <v>383</v>
      </c>
    </row>
    <row r="35" spans="1:3" x14ac:dyDescent="0.35">
      <c r="A35" s="3" t="s">
        <v>654</v>
      </c>
      <c r="B35" s="3" t="s">
        <v>492</v>
      </c>
      <c r="C35" s="3" t="s">
        <v>333</v>
      </c>
    </row>
    <row r="36" spans="1:3" x14ac:dyDescent="0.35">
      <c r="A36" s="3" t="s">
        <v>657</v>
      </c>
      <c r="B36" s="3" t="s">
        <v>491</v>
      </c>
      <c r="C36" s="3" t="s">
        <v>610</v>
      </c>
    </row>
    <row r="37" spans="1:3" x14ac:dyDescent="0.35">
      <c r="A37" s="3" t="s">
        <v>659</v>
      </c>
      <c r="B37" s="3" t="s">
        <v>473</v>
      </c>
      <c r="C37" s="3" t="s">
        <v>355</v>
      </c>
    </row>
    <row r="38" spans="1:3" x14ac:dyDescent="0.35">
      <c r="A38" s="3" t="s">
        <v>668</v>
      </c>
      <c r="B38" s="3" t="s">
        <v>949</v>
      </c>
      <c r="C38" s="3" t="s">
        <v>817</v>
      </c>
    </row>
    <row r="39" spans="1:3" x14ac:dyDescent="0.35">
      <c r="A39" s="3" t="s">
        <v>665</v>
      </c>
      <c r="B39" s="3" t="s">
        <v>474</v>
      </c>
      <c r="C39" s="3" t="s">
        <v>68</v>
      </c>
    </row>
    <row r="40" spans="1:3" x14ac:dyDescent="0.35">
      <c r="A40" s="3" t="s">
        <v>661</v>
      </c>
      <c r="B40" s="3" t="s">
        <v>476</v>
      </c>
      <c r="C40" s="3" t="s">
        <v>103</v>
      </c>
    </row>
    <row r="41" spans="1:3" x14ac:dyDescent="0.35">
      <c r="A41" s="3" t="s">
        <v>664</v>
      </c>
      <c r="B41" s="3" t="s">
        <v>478</v>
      </c>
      <c r="C41" s="3" t="s">
        <v>111</v>
      </c>
    </row>
    <row r="42" spans="1:3" x14ac:dyDescent="0.35">
      <c r="A42" s="3" t="s">
        <v>671</v>
      </c>
      <c r="B42" s="3" t="s">
        <v>482</v>
      </c>
      <c r="C42" s="3" t="s">
        <v>165</v>
      </c>
    </row>
    <row r="43" spans="1:3" x14ac:dyDescent="0.35">
      <c r="A43" s="3" t="s">
        <v>666</v>
      </c>
      <c r="B43" s="3" t="s">
        <v>613</v>
      </c>
      <c r="C43" s="3" t="s">
        <v>173</v>
      </c>
    </row>
    <row r="44" spans="1:3" x14ac:dyDescent="0.35">
      <c r="A44" s="3" t="s">
        <v>672</v>
      </c>
      <c r="B44" s="3" t="s">
        <v>614</v>
      </c>
      <c r="C44" s="3" t="s">
        <v>188</v>
      </c>
    </row>
    <row r="45" spans="1:3" x14ac:dyDescent="0.35">
      <c r="A45" s="3" t="s">
        <v>662</v>
      </c>
      <c r="B45" s="3" t="s">
        <v>612</v>
      </c>
      <c r="C45" s="3" t="s">
        <v>202</v>
      </c>
    </row>
    <row r="46" spans="1:3" x14ac:dyDescent="0.35">
      <c r="A46" s="3" t="s">
        <v>669</v>
      </c>
      <c r="B46" s="3" t="s">
        <v>511</v>
      </c>
      <c r="C46" s="3" t="s">
        <v>209</v>
      </c>
    </row>
    <row r="47" spans="1:3" x14ac:dyDescent="0.35">
      <c r="A47" s="3" t="s">
        <v>667</v>
      </c>
      <c r="B47" s="3" t="s">
        <v>513</v>
      </c>
      <c r="C47" s="3" t="s">
        <v>223</v>
      </c>
    </row>
    <row r="48" spans="1:3" x14ac:dyDescent="0.35">
      <c r="A48" s="3" t="s">
        <v>629</v>
      </c>
      <c r="B48" s="3" t="s">
        <v>515</v>
      </c>
      <c r="C48" s="3" t="s">
        <v>428</v>
      </c>
    </row>
    <row r="49" spans="1:3" x14ac:dyDescent="0.35">
      <c r="A49" s="3" t="s">
        <v>670</v>
      </c>
      <c r="B49" s="3" t="s">
        <v>518</v>
      </c>
      <c r="C49" s="3" t="s">
        <v>272</v>
      </c>
    </row>
    <row r="50" spans="1:3" x14ac:dyDescent="0.35">
      <c r="A50" s="3" t="s">
        <v>663</v>
      </c>
      <c r="B50" s="3" t="s">
        <v>521</v>
      </c>
      <c r="C50" s="3" t="s">
        <v>317</v>
      </c>
    </row>
    <row r="51" spans="1:3" x14ac:dyDescent="0.35">
      <c r="A51" s="3" t="s">
        <v>628</v>
      </c>
      <c r="B51" s="3" t="s">
        <v>526</v>
      </c>
      <c r="C51" s="3" t="s">
        <v>116</v>
      </c>
    </row>
    <row r="52" spans="1:3" x14ac:dyDescent="0.35">
      <c r="A52" s="3" t="s">
        <v>627</v>
      </c>
      <c r="B52" s="23" t="s">
        <v>528</v>
      </c>
      <c r="C52" s="3" t="s">
        <v>152</v>
      </c>
    </row>
    <row r="53" spans="1:3" x14ac:dyDescent="0.35">
      <c r="A53" s="3" t="s">
        <v>530</v>
      </c>
      <c r="B53" s="3" t="s">
        <v>531</v>
      </c>
      <c r="C53" s="3" t="s">
        <v>129</v>
      </c>
    </row>
    <row r="54" spans="1:3" x14ac:dyDescent="0.35">
      <c r="A54" s="3" t="s">
        <v>895</v>
      </c>
      <c r="B54" s="3" t="s">
        <v>866</v>
      </c>
      <c r="C54" s="3" t="s">
        <v>862</v>
      </c>
    </row>
    <row r="55" spans="1:3" x14ac:dyDescent="0.35">
      <c r="A55" s="3" t="s">
        <v>896</v>
      </c>
      <c r="B55" s="3" t="s">
        <v>872</v>
      </c>
      <c r="C55" s="3" t="s">
        <v>871</v>
      </c>
    </row>
    <row r="56" spans="1:3" x14ac:dyDescent="0.35">
      <c r="A56" s="3" t="s">
        <v>897</v>
      </c>
      <c r="B56" s="3" t="s">
        <v>881</v>
      </c>
      <c r="C56" s="3" t="s">
        <v>880</v>
      </c>
    </row>
    <row r="57" spans="1:3" x14ac:dyDescent="0.35">
      <c r="A57" s="3" t="s">
        <v>898</v>
      </c>
      <c r="B57" s="3" t="s">
        <v>928</v>
      </c>
      <c r="C57" s="3" t="s">
        <v>889</v>
      </c>
    </row>
    <row r="58" spans="1:3" x14ac:dyDescent="0.35">
      <c r="A58" s="3" t="s">
        <v>899</v>
      </c>
      <c r="B58" s="3" t="s">
        <v>929</v>
      </c>
      <c r="C58" s="3" t="s">
        <v>894</v>
      </c>
    </row>
  </sheetData>
  <autoFilter ref="A1:B53" xr:uid="{3BCC4DC4-FB87-4D0D-AC60-3A3B96F3BB4B}">
    <sortState xmlns:xlrd2="http://schemas.microsoft.com/office/spreadsheetml/2017/richdata2" ref="A2:B53">
      <sortCondition ref="A1:A53"/>
    </sortState>
  </autoFilter>
  <phoneticPr fontId="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E452-E874-4037-AAAB-D71BDB0DC481}">
  <sheetPr>
    <tabColor theme="5" tint="-0.249977111117893"/>
  </sheetPr>
  <dimension ref="A1:Q58"/>
  <sheetViews>
    <sheetView zoomScale="90" zoomScaleNormal="90" workbookViewId="0">
      <pane ySplit="1" topLeftCell="A2" activePane="bottomLeft" state="frozen"/>
      <selection activeCell="C1" sqref="C1"/>
      <selection pane="bottomLeft" activeCell="D66" sqref="D66"/>
    </sheetView>
  </sheetViews>
  <sheetFormatPr defaultRowHeight="14.5" x14ac:dyDescent="0.35"/>
  <cols>
    <col min="1" max="1" width="7" style="3" customWidth="1"/>
    <col min="2" max="2" width="10.08984375" style="1" customWidth="1"/>
    <col min="3" max="3" width="17.6328125" style="3" customWidth="1"/>
    <col min="4" max="4" width="7.26953125" style="3" customWidth="1"/>
    <col min="5" max="5" width="7.90625" customWidth="1"/>
    <col min="6" max="6" width="7.453125" customWidth="1"/>
    <col min="7" max="7" width="4.36328125" customWidth="1"/>
    <col min="8" max="8" width="8.6328125" customWidth="1"/>
    <col min="9" max="9" width="11.08984375" customWidth="1"/>
    <col min="10" max="10" width="16.90625" customWidth="1"/>
  </cols>
  <sheetData>
    <row r="1" spans="1:17" x14ac:dyDescent="0.35">
      <c r="A1" s="26" t="s">
        <v>16</v>
      </c>
      <c r="B1" s="2" t="s">
        <v>3</v>
      </c>
      <c r="C1" s="27" t="s">
        <v>851</v>
      </c>
      <c r="D1" s="27" t="s">
        <v>722</v>
      </c>
      <c r="E1" s="28" t="s">
        <v>723</v>
      </c>
      <c r="F1" s="28" t="s">
        <v>450</v>
      </c>
      <c r="G1" s="28" t="s">
        <v>724</v>
      </c>
      <c r="H1" s="28" t="s">
        <v>726</v>
      </c>
      <c r="I1" s="28" t="s">
        <v>731</v>
      </c>
      <c r="J1" s="28" t="s">
        <v>727</v>
      </c>
    </row>
    <row r="2" spans="1:17" x14ac:dyDescent="0.35">
      <c r="A2" s="29" t="s">
        <v>923</v>
      </c>
      <c r="B2" s="3">
        <v>2022</v>
      </c>
      <c r="C2" s="29" t="s">
        <v>725</v>
      </c>
      <c r="D2" s="29">
        <v>1</v>
      </c>
      <c r="E2" s="30">
        <v>1</v>
      </c>
      <c r="F2" s="30">
        <v>0</v>
      </c>
      <c r="G2" s="30">
        <v>0</v>
      </c>
      <c r="H2" s="30" t="s">
        <v>933</v>
      </c>
      <c r="I2" s="30"/>
      <c r="J2" s="30" t="s">
        <v>728</v>
      </c>
      <c r="L2" s="30" t="s">
        <v>942</v>
      </c>
    </row>
    <row r="3" spans="1:17" x14ac:dyDescent="0.35">
      <c r="A3" s="29" t="s">
        <v>920</v>
      </c>
      <c r="B3" s="3">
        <v>2023</v>
      </c>
      <c r="C3" s="29" t="s">
        <v>51</v>
      </c>
      <c r="D3" s="29">
        <v>1</v>
      </c>
      <c r="E3" s="30">
        <v>0</v>
      </c>
      <c r="F3" s="30">
        <v>0</v>
      </c>
      <c r="G3" s="30">
        <v>0</v>
      </c>
      <c r="H3" s="30" t="s">
        <v>933</v>
      </c>
      <c r="I3" s="30"/>
      <c r="J3" s="30" t="s">
        <v>737</v>
      </c>
      <c r="L3" t="s">
        <v>943</v>
      </c>
    </row>
    <row r="4" spans="1:17" x14ac:dyDescent="0.35">
      <c r="A4" s="29" t="s">
        <v>926</v>
      </c>
      <c r="B4" s="3">
        <v>2023</v>
      </c>
      <c r="C4" s="29" t="s">
        <v>51</v>
      </c>
      <c r="D4" s="29">
        <v>1</v>
      </c>
      <c r="E4" s="30">
        <v>0</v>
      </c>
      <c r="F4" s="30">
        <v>0</v>
      </c>
      <c r="G4" s="30">
        <v>0</v>
      </c>
      <c r="H4" s="30" t="s">
        <v>933</v>
      </c>
      <c r="I4" s="30"/>
      <c r="J4" s="30" t="s">
        <v>737</v>
      </c>
      <c r="L4" t="s">
        <v>943</v>
      </c>
    </row>
    <row r="5" spans="1:17" x14ac:dyDescent="0.35">
      <c r="A5" s="29" t="s">
        <v>919</v>
      </c>
      <c r="B5" s="3">
        <v>2019</v>
      </c>
      <c r="C5" s="29" t="s">
        <v>63</v>
      </c>
      <c r="D5" s="29">
        <v>1</v>
      </c>
      <c r="E5" s="30">
        <v>0</v>
      </c>
      <c r="F5" s="30">
        <v>0</v>
      </c>
      <c r="G5" s="30">
        <v>0</v>
      </c>
      <c r="H5" s="30" t="s">
        <v>933</v>
      </c>
      <c r="I5" s="30"/>
      <c r="J5" s="30" t="s">
        <v>737</v>
      </c>
      <c r="L5" t="s">
        <v>943</v>
      </c>
      <c r="N5" t="s">
        <v>822</v>
      </c>
      <c r="O5" t="s">
        <v>829</v>
      </c>
    </row>
    <row r="6" spans="1:17" x14ac:dyDescent="0.35">
      <c r="A6" s="29" t="s">
        <v>927</v>
      </c>
      <c r="B6" s="3">
        <v>2025</v>
      </c>
      <c r="C6" s="29" t="s">
        <v>51</v>
      </c>
      <c r="D6" s="29">
        <v>1</v>
      </c>
      <c r="E6" s="30">
        <v>0</v>
      </c>
      <c r="F6" s="30">
        <v>1</v>
      </c>
      <c r="G6" s="30">
        <v>0</v>
      </c>
      <c r="H6" s="30" t="s">
        <v>933</v>
      </c>
      <c r="I6" s="30" t="s">
        <v>730</v>
      </c>
      <c r="J6" s="30" t="s">
        <v>737</v>
      </c>
      <c r="K6" s="30" t="s">
        <v>934</v>
      </c>
      <c r="L6" s="30"/>
      <c r="N6" t="s">
        <v>823</v>
      </c>
      <c r="O6" t="s">
        <v>828</v>
      </c>
    </row>
    <row r="7" spans="1:17" x14ac:dyDescent="0.35">
      <c r="A7" s="29" t="s">
        <v>925</v>
      </c>
      <c r="B7" s="3">
        <v>2022</v>
      </c>
      <c r="C7" s="29" t="s">
        <v>850</v>
      </c>
      <c r="D7" s="29" t="s">
        <v>734</v>
      </c>
      <c r="E7" s="30" t="s">
        <v>734</v>
      </c>
      <c r="F7" s="30" t="s">
        <v>734</v>
      </c>
      <c r="G7" s="30" t="s">
        <v>734</v>
      </c>
      <c r="H7" s="30"/>
      <c r="I7" s="30"/>
      <c r="J7" s="30"/>
    </row>
    <row r="8" spans="1:17" x14ac:dyDescent="0.35">
      <c r="A8" s="29" t="s">
        <v>924</v>
      </c>
      <c r="B8" s="3">
        <v>2021</v>
      </c>
      <c r="C8" s="29" t="s">
        <v>142</v>
      </c>
      <c r="D8" s="29">
        <v>1</v>
      </c>
      <c r="E8" s="30">
        <v>0</v>
      </c>
      <c r="F8" s="30">
        <v>0</v>
      </c>
      <c r="G8" s="30">
        <v>0</v>
      </c>
      <c r="H8" s="30" t="s">
        <v>933</v>
      </c>
      <c r="I8" s="30"/>
      <c r="J8" s="30" t="s">
        <v>737</v>
      </c>
      <c r="M8" t="s">
        <v>729</v>
      </c>
    </row>
    <row r="9" spans="1:17" x14ac:dyDescent="0.35">
      <c r="A9" s="29" t="s">
        <v>922</v>
      </c>
      <c r="B9" s="3">
        <v>2021</v>
      </c>
      <c r="C9" s="29" t="s">
        <v>556</v>
      </c>
      <c r="D9" s="29">
        <v>0</v>
      </c>
      <c r="E9" s="30">
        <v>0</v>
      </c>
      <c r="F9" s="30">
        <v>0</v>
      </c>
      <c r="G9" s="30">
        <v>1</v>
      </c>
      <c r="H9" s="30" t="s">
        <v>933</v>
      </c>
      <c r="I9" s="30"/>
      <c r="J9" s="30" t="s">
        <v>737</v>
      </c>
    </row>
    <row r="10" spans="1:17" x14ac:dyDescent="0.35">
      <c r="A10" s="29" t="s">
        <v>921</v>
      </c>
      <c r="B10" s="3">
        <v>2022</v>
      </c>
      <c r="C10" s="29" t="s">
        <v>744</v>
      </c>
      <c r="D10" s="29">
        <v>1</v>
      </c>
      <c r="E10" s="30">
        <v>0</v>
      </c>
      <c r="F10" s="30">
        <v>0</v>
      </c>
      <c r="G10" s="30">
        <v>1</v>
      </c>
      <c r="H10" s="30" t="s">
        <v>933</v>
      </c>
      <c r="I10" s="30" t="s">
        <v>732</v>
      </c>
      <c r="J10" s="30" t="s">
        <v>825</v>
      </c>
      <c r="K10" s="30"/>
      <c r="L10" s="30"/>
    </row>
    <row r="11" spans="1:17" x14ac:dyDescent="0.35">
      <c r="A11" s="29" t="s">
        <v>633</v>
      </c>
      <c r="B11" s="3">
        <v>2022</v>
      </c>
      <c r="C11" s="29" t="s">
        <v>142</v>
      </c>
      <c r="D11" s="29">
        <v>1</v>
      </c>
      <c r="E11" s="30">
        <v>0</v>
      </c>
      <c r="F11" s="30">
        <v>0</v>
      </c>
      <c r="G11" s="30">
        <v>0</v>
      </c>
      <c r="H11" s="30" t="s">
        <v>933</v>
      </c>
      <c r="I11" s="30"/>
      <c r="J11" s="30" t="s">
        <v>824</v>
      </c>
    </row>
    <row r="12" spans="1:17" x14ac:dyDescent="0.35">
      <c r="A12" s="29" t="s">
        <v>625</v>
      </c>
      <c r="B12" s="3">
        <v>2021</v>
      </c>
      <c r="C12" s="29" t="s">
        <v>450</v>
      </c>
      <c r="D12" s="29">
        <v>0</v>
      </c>
      <c r="E12" s="30">
        <v>0</v>
      </c>
      <c r="F12" s="30">
        <v>1</v>
      </c>
      <c r="G12" s="30">
        <v>0</v>
      </c>
      <c r="H12" s="30" t="s">
        <v>933</v>
      </c>
      <c r="I12" s="30"/>
      <c r="J12" s="30" t="s">
        <v>935</v>
      </c>
    </row>
    <row r="13" spans="1:17" x14ac:dyDescent="0.35">
      <c r="A13" s="29" t="s">
        <v>636</v>
      </c>
      <c r="B13" s="3">
        <v>2021</v>
      </c>
      <c r="C13" s="29" t="s">
        <v>733</v>
      </c>
      <c r="D13" s="29">
        <v>1</v>
      </c>
      <c r="E13" s="30">
        <v>0</v>
      </c>
      <c r="F13" s="30">
        <v>1</v>
      </c>
      <c r="G13" s="30">
        <v>0</v>
      </c>
      <c r="H13" s="30" t="s">
        <v>933</v>
      </c>
      <c r="I13" s="30" t="s">
        <v>730</v>
      </c>
      <c r="J13" s="30" t="s">
        <v>826</v>
      </c>
      <c r="K13" s="30" t="s">
        <v>934</v>
      </c>
      <c r="L13" s="30"/>
    </row>
    <row r="14" spans="1:17" x14ac:dyDescent="0.35">
      <c r="A14" s="29" t="s">
        <v>642</v>
      </c>
      <c r="B14" s="3">
        <v>2021</v>
      </c>
      <c r="C14" s="29" t="s">
        <v>142</v>
      </c>
      <c r="D14" s="29">
        <v>1</v>
      </c>
      <c r="E14" s="30">
        <v>0</v>
      </c>
      <c r="F14" s="30">
        <v>0</v>
      </c>
      <c r="G14" s="30">
        <v>0</v>
      </c>
      <c r="H14" s="30" t="s">
        <v>933</v>
      </c>
      <c r="I14" s="30"/>
      <c r="J14" s="30" t="s">
        <v>824</v>
      </c>
    </row>
    <row r="15" spans="1:17" x14ac:dyDescent="0.35">
      <c r="A15" s="29" t="s">
        <v>644</v>
      </c>
      <c r="B15" s="3">
        <v>2019</v>
      </c>
      <c r="C15" s="29" t="s">
        <v>396</v>
      </c>
      <c r="D15" s="29">
        <v>1</v>
      </c>
      <c r="E15" s="30">
        <v>0</v>
      </c>
      <c r="F15" s="30">
        <v>0</v>
      </c>
      <c r="G15" s="30">
        <v>0</v>
      </c>
      <c r="H15" s="30" t="s">
        <v>933</v>
      </c>
      <c r="I15" s="30"/>
      <c r="J15" s="30" t="s">
        <v>737</v>
      </c>
    </row>
    <row r="16" spans="1:17" x14ac:dyDescent="0.35">
      <c r="A16" s="29" t="s">
        <v>647</v>
      </c>
      <c r="B16" s="3">
        <v>2024</v>
      </c>
      <c r="C16" s="29" t="s">
        <v>181</v>
      </c>
      <c r="D16" s="29">
        <v>1</v>
      </c>
      <c r="E16" s="30">
        <v>0</v>
      </c>
      <c r="F16" s="30">
        <v>0</v>
      </c>
      <c r="G16" s="30">
        <v>0</v>
      </c>
      <c r="H16" s="30" t="s">
        <v>936</v>
      </c>
      <c r="I16" s="30"/>
      <c r="J16" s="39" t="s">
        <v>937</v>
      </c>
      <c r="P16" t="s">
        <v>722</v>
      </c>
      <c r="Q16">
        <v>42</v>
      </c>
    </row>
    <row r="17" spans="1:17" x14ac:dyDescent="0.35">
      <c r="A17" s="29" t="s">
        <v>651</v>
      </c>
      <c r="B17" s="3">
        <v>2025</v>
      </c>
      <c r="C17" s="29" t="s">
        <v>850</v>
      </c>
      <c r="D17" s="29" t="s">
        <v>734</v>
      </c>
      <c r="E17" s="30" t="s">
        <v>734</v>
      </c>
      <c r="F17" s="30" t="s">
        <v>734</v>
      </c>
      <c r="G17" s="30" t="s">
        <v>734</v>
      </c>
      <c r="H17" s="30" t="s">
        <v>734</v>
      </c>
      <c r="I17" s="30"/>
      <c r="J17" s="30"/>
      <c r="P17" t="s">
        <v>831</v>
      </c>
      <c r="Q17">
        <v>13</v>
      </c>
    </row>
    <row r="18" spans="1:17" x14ac:dyDescent="0.35">
      <c r="A18" s="29" t="s">
        <v>648</v>
      </c>
      <c r="B18" s="3">
        <v>2025</v>
      </c>
      <c r="C18" s="30" t="s">
        <v>411</v>
      </c>
      <c r="D18" s="29">
        <v>1</v>
      </c>
      <c r="E18" s="31">
        <v>0</v>
      </c>
      <c r="F18" s="31">
        <v>0</v>
      </c>
      <c r="G18" s="31">
        <v>0</v>
      </c>
      <c r="H18" s="30" t="s">
        <v>936</v>
      </c>
      <c r="I18" s="30"/>
      <c r="J18" s="39" t="s">
        <v>937</v>
      </c>
      <c r="P18" t="s">
        <v>832</v>
      </c>
      <c r="Q18">
        <v>4</v>
      </c>
    </row>
    <row r="19" spans="1:17" x14ac:dyDescent="0.35">
      <c r="A19" s="29" t="s">
        <v>638</v>
      </c>
      <c r="B19" s="3">
        <v>2023</v>
      </c>
      <c r="C19" s="29" t="s">
        <v>742</v>
      </c>
      <c r="D19" s="29">
        <v>1</v>
      </c>
      <c r="E19" s="32">
        <v>0</v>
      </c>
      <c r="F19" s="32">
        <v>0</v>
      </c>
      <c r="G19" s="32">
        <v>0</v>
      </c>
      <c r="H19" s="30" t="s">
        <v>933</v>
      </c>
      <c r="I19" s="30"/>
      <c r="J19" s="30" t="s">
        <v>737</v>
      </c>
      <c r="M19" s="17" t="s">
        <v>735</v>
      </c>
      <c r="P19" t="s">
        <v>450</v>
      </c>
      <c r="Q19">
        <v>11</v>
      </c>
    </row>
    <row r="20" spans="1:17" x14ac:dyDescent="0.35">
      <c r="A20" s="29" t="s">
        <v>639</v>
      </c>
      <c r="B20" s="3">
        <v>2020</v>
      </c>
      <c r="C20" s="29" t="s">
        <v>233</v>
      </c>
      <c r="D20" s="29">
        <v>1</v>
      </c>
      <c r="E20" s="32">
        <v>0</v>
      </c>
      <c r="F20" s="32">
        <v>0</v>
      </c>
      <c r="G20" s="32">
        <v>0</v>
      </c>
      <c r="H20" s="30" t="s">
        <v>933</v>
      </c>
      <c r="I20" s="30"/>
      <c r="J20" s="30" t="s">
        <v>737</v>
      </c>
    </row>
    <row r="21" spans="1:17" x14ac:dyDescent="0.35">
      <c r="A21" s="29" t="s">
        <v>641</v>
      </c>
      <c r="B21" s="3">
        <v>2019</v>
      </c>
      <c r="C21" s="29" t="s">
        <v>240</v>
      </c>
      <c r="D21" s="29">
        <v>1</v>
      </c>
      <c r="E21" s="32">
        <v>0</v>
      </c>
      <c r="F21" s="32">
        <v>0</v>
      </c>
      <c r="G21" s="32">
        <v>0</v>
      </c>
      <c r="H21" s="30" t="s">
        <v>936</v>
      </c>
      <c r="I21" s="30"/>
      <c r="J21" s="39" t="s">
        <v>937</v>
      </c>
    </row>
    <row r="22" spans="1:17" x14ac:dyDescent="0.35">
      <c r="A22" s="29" t="s">
        <v>637</v>
      </c>
      <c r="B22" s="3">
        <v>2019</v>
      </c>
      <c r="C22" s="29" t="s">
        <v>142</v>
      </c>
      <c r="D22" s="29">
        <v>1</v>
      </c>
      <c r="E22" s="32">
        <v>1</v>
      </c>
      <c r="F22" s="32">
        <v>0</v>
      </c>
      <c r="G22" s="32">
        <v>0</v>
      </c>
      <c r="H22" s="30" t="s">
        <v>933</v>
      </c>
      <c r="I22" s="30" t="s">
        <v>732</v>
      </c>
      <c r="J22" s="30" t="s">
        <v>737</v>
      </c>
      <c r="K22" s="30" t="s">
        <v>934</v>
      </c>
      <c r="L22" s="30"/>
    </row>
    <row r="23" spans="1:17" x14ac:dyDescent="0.35">
      <c r="A23" s="29" t="s">
        <v>643</v>
      </c>
      <c r="B23" s="3">
        <v>2019</v>
      </c>
      <c r="C23" s="29" t="s">
        <v>450</v>
      </c>
      <c r="D23" s="29">
        <v>0</v>
      </c>
      <c r="E23" s="32">
        <v>0</v>
      </c>
      <c r="F23" s="32">
        <v>1</v>
      </c>
      <c r="G23" s="32">
        <v>0</v>
      </c>
      <c r="H23" s="30" t="s">
        <v>933</v>
      </c>
      <c r="I23" s="30"/>
      <c r="J23" s="30" t="s">
        <v>935</v>
      </c>
    </row>
    <row r="24" spans="1:17" x14ac:dyDescent="0.35">
      <c r="A24" s="29" t="s">
        <v>640</v>
      </c>
      <c r="B24" s="3">
        <v>2019</v>
      </c>
      <c r="C24" s="29" t="s">
        <v>743</v>
      </c>
      <c r="D24" s="29">
        <v>1</v>
      </c>
      <c r="E24" s="32">
        <v>1</v>
      </c>
      <c r="F24" s="32">
        <v>0</v>
      </c>
      <c r="G24" s="32">
        <v>0</v>
      </c>
      <c r="H24" s="30" t="s">
        <v>933</v>
      </c>
      <c r="I24" s="30"/>
      <c r="J24" s="30" t="s">
        <v>827</v>
      </c>
    </row>
    <row r="25" spans="1:17" x14ac:dyDescent="0.35">
      <c r="A25" s="29" t="s">
        <v>646</v>
      </c>
      <c r="B25" s="3">
        <v>2023</v>
      </c>
      <c r="C25" s="29" t="s">
        <v>450</v>
      </c>
      <c r="D25" s="29">
        <v>0</v>
      </c>
      <c r="E25" s="32">
        <v>0</v>
      </c>
      <c r="F25" s="32">
        <v>1</v>
      </c>
      <c r="G25" s="32">
        <v>0</v>
      </c>
      <c r="H25" s="30" t="s">
        <v>933</v>
      </c>
      <c r="I25" s="30"/>
      <c r="J25" s="30" t="s">
        <v>935</v>
      </c>
    </row>
    <row r="26" spans="1:17" x14ac:dyDescent="0.35">
      <c r="A26" s="29" t="s">
        <v>649</v>
      </c>
      <c r="B26" s="3">
        <v>2020</v>
      </c>
      <c r="C26" s="29" t="s">
        <v>743</v>
      </c>
      <c r="D26" s="29">
        <v>1</v>
      </c>
      <c r="E26" s="32">
        <v>1</v>
      </c>
      <c r="F26" s="32">
        <v>0</v>
      </c>
      <c r="G26" s="32">
        <v>0</v>
      </c>
      <c r="H26" s="30" t="s">
        <v>933</v>
      </c>
      <c r="I26" s="30" t="s">
        <v>732</v>
      </c>
      <c r="J26" s="30" t="s">
        <v>737</v>
      </c>
      <c r="K26" s="30" t="s">
        <v>934</v>
      </c>
      <c r="L26" s="30"/>
    </row>
    <row r="27" spans="1:17" x14ac:dyDescent="0.35">
      <c r="A27" s="29" t="s">
        <v>645</v>
      </c>
      <c r="B27" s="3">
        <v>2021</v>
      </c>
      <c r="C27" s="29" t="s">
        <v>456</v>
      </c>
      <c r="D27" s="29">
        <v>0</v>
      </c>
      <c r="E27" s="32">
        <v>1</v>
      </c>
      <c r="F27" s="32">
        <v>0</v>
      </c>
      <c r="G27" s="32">
        <v>0</v>
      </c>
      <c r="H27" s="30" t="s">
        <v>933</v>
      </c>
      <c r="I27" s="30"/>
      <c r="J27" s="30" t="s">
        <v>825</v>
      </c>
    </row>
    <row r="28" spans="1:17" x14ac:dyDescent="0.35">
      <c r="A28" s="29" t="s">
        <v>652</v>
      </c>
      <c r="B28" s="3">
        <v>2023</v>
      </c>
      <c r="C28" s="29" t="s">
        <v>348</v>
      </c>
      <c r="D28" s="29">
        <v>1</v>
      </c>
      <c r="E28" s="32">
        <v>0</v>
      </c>
      <c r="F28" s="32">
        <v>0</v>
      </c>
      <c r="G28" s="32">
        <v>0</v>
      </c>
      <c r="H28" s="30" t="s">
        <v>933</v>
      </c>
      <c r="I28" s="30"/>
      <c r="J28" s="30" t="s">
        <v>737</v>
      </c>
    </row>
    <row r="29" spans="1:17" x14ac:dyDescent="0.35">
      <c r="A29" s="29" t="s">
        <v>650</v>
      </c>
      <c r="B29" s="3">
        <v>2023</v>
      </c>
      <c r="C29" s="29" t="s">
        <v>51</v>
      </c>
      <c r="D29" s="29">
        <v>1</v>
      </c>
      <c r="E29" s="32">
        <v>0</v>
      </c>
      <c r="F29" s="32">
        <v>0</v>
      </c>
      <c r="G29" s="32">
        <v>0</v>
      </c>
      <c r="H29" s="30" t="s">
        <v>933</v>
      </c>
      <c r="I29" s="30"/>
      <c r="J29" s="30" t="s">
        <v>737</v>
      </c>
    </row>
    <row r="30" spans="1:17" x14ac:dyDescent="0.35">
      <c r="A30" s="29" t="s">
        <v>653</v>
      </c>
      <c r="B30" s="3">
        <v>2020</v>
      </c>
      <c r="C30" s="29" t="s">
        <v>674</v>
      </c>
      <c r="D30" s="29">
        <v>1</v>
      </c>
      <c r="E30" s="32">
        <v>0</v>
      </c>
      <c r="F30" s="32">
        <v>0</v>
      </c>
      <c r="G30" s="32">
        <v>0</v>
      </c>
      <c r="H30" s="30" t="s">
        <v>933</v>
      </c>
      <c r="I30" s="30"/>
      <c r="J30" s="30" t="s">
        <v>737</v>
      </c>
    </row>
    <row r="31" spans="1:17" x14ac:dyDescent="0.35">
      <c r="A31" s="29" t="s">
        <v>656</v>
      </c>
      <c r="B31" s="3">
        <v>2025</v>
      </c>
      <c r="C31" s="29" t="s">
        <v>932</v>
      </c>
      <c r="D31" s="29" t="s">
        <v>734</v>
      </c>
      <c r="E31" s="32" t="s">
        <v>734</v>
      </c>
      <c r="F31" s="32" t="s">
        <v>734</v>
      </c>
      <c r="G31" s="32" t="s">
        <v>734</v>
      </c>
      <c r="H31" s="30"/>
      <c r="I31" s="30"/>
      <c r="J31" s="30"/>
    </row>
    <row r="32" spans="1:17" x14ac:dyDescent="0.35">
      <c r="A32" s="29" t="s">
        <v>655</v>
      </c>
      <c r="B32" s="3">
        <v>2023</v>
      </c>
      <c r="C32" s="29" t="s">
        <v>850</v>
      </c>
      <c r="D32" s="29" t="s">
        <v>734</v>
      </c>
      <c r="E32" s="31" t="s">
        <v>734</v>
      </c>
      <c r="F32" s="31" t="s">
        <v>734</v>
      </c>
      <c r="G32" s="31" t="s">
        <v>734</v>
      </c>
      <c r="H32" s="30"/>
      <c r="I32" s="30"/>
      <c r="J32" s="30"/>
    </row>
    <row r="33" spans="1:12" x14ac:dyDescent="0.35">
      <c r="A33" s="29" t="s">
        <v>658</v>
      </c>
      <c r="B33" s="3">
        <v>2025</v>
      </c>
      <c r="C33" s="29" t="s">
        <v>736</v>
      </c>
      <c r="D33" s="29">
        <v>1</v>
      </c>
      <c r="E33" s="31">
        <v>0</v>
      </c>
      <c r="F33" s="31">
        <v>0</v>
      </c>
      <c r="G33" s="31">
        <v>0</v>
      </c>
      <c r="H33" s="30" t="s">
        <v>933</v>
      </c>
      <c r="I33" s="30"/>
      <c r="J33" s="30" t="s">
        <v>737</v>
      </c>
    </row>
    <row r="34" spans="1:12" x14ac:dyDescent="0.35">
      <c r="A34" s="29" t="s">
        <v>660</v>
      </c>
      <c r="B34" s="3">
        <v>2025</v>
      </c>
      <c r="C34" s="29" t="s">
        <v>51</v>
      </c>
      <c r="D34" s="29">
        <v>1</v>
      </c>
      <c r="E34" s="31">
        <v>0</v>
      </c>
      <c r="F34" s="31">
        <v>0</v>
      </c>
      <c r="G34" s="31">
        <v>0</v>
      </c>
      <c r="H34" s="30" t="s">
        <v>933</v>
      </c>
      <c r="I34" s="30"/>
      <c r="J34" s="30" t="s">
        <v>737</v>
      </c>
    </row>
    <row r="35" spans="1:12" x14ac:dyDescent="0.35">
      <c r="A35" s="29" t="s">
        <v>654</v>
      </c>
      <c r="B35" s="3">
        <v>2020</v>
      </c>
      <c r="C35" s="29" t="s">
        <v>743</v>
      </c>
      <c r="D35" s="29">
        <v>1</v>
      </c>
      <c r="E35" s="31">
        <v>1</v>
      </c>
      <c r="F35" s="31">
        <v>0</v>
      </c>
      <c r="G35" s="31">
        <v>0</v>
      </c>
      <c r="H35" s="30" t="s">
        <v>933</v>
      </c>
      <c r="I35" s="30" t="s">
        <v>732</v>
      </c>
      <c r="J35" s="30" t="s">
        <v>737</v>
      </c>
      <c r="K35" s="30" t="s">
        <v>934</v>
      </c>
      <c r="L35" s="30"/>
    </row>
    <row r="36" spans="1:12" x14ac:dyDescent="0.35">
      <c r="A36" s="29" t="s">
        <v>657</v>
      </c>
      <c r="B36" s="3">
        <v>2024</v>
      </c>
      <c r="C36" s="29" t="s">
        <v>738</v>
      </c>
      <c r="D36" s="29">
        <v>0</v>
      </c>
      <c r="E36" s="31">
        <v>0</v>
      </c>
      <c r="F36" s="31">
        <v>0</v>
      </c>
      <c r="G36" s="31">
        <v>1</v>
      </c>
      <c r="H36" s="19" t="s">
        <v>933</v>
      </c>
      <c r="I36" s="30"/>
      <c r="J36" s="30" t="s">
        <v>737</v>
      </c>
    </row>
    <row r="37" spans="1:12" x14ac:dyDescent="0.35">
      <c r="A37" s="29" t="s">
        <v>659</v>
      </c>
      <c r="B37" s="3">
        <v>2025</v>
      </c>
      <c r="C37" s="29" t="s">
        <v>181</v>
      </c>
      <c r="D37" s="29">
        <v>1</v>
      </c>
      <c r="E37" s="31">
        <v>0</v>
      </c>
      <c r="F37" s="31">
        <v>0</v>
      </c>
      <c r="G37" s="31">
        <v>0</v>
      </c>
      <c r="H37" s="30" t="s">
        <v>933</v>
      </c>
      <c r="I37" s="30"/>
      <c r="J37" s="30" t="s">
        <v>737</v>
      </c>
    </row>
    <row r="38" spans="1:12" x14ac:dyDescent="0.35">
      <c r="A38" s="29" t="s">
        <v>668</v>
      </c>
      <c r="B38" s="3">
        <v>2024</v>
      </c>
      <c r="C38" s="29" t="s">
        <v>142</v>
      </c>
      <c r="D38" s="29">
        <v>1</v>
      </c>
      <c r="E38" s="31">
        <v>0</v>
      </c>
      <c r="F38" s="31">
        <v>0</v>
      </c>
      <c r="G38" s="31">
        <v>0</v>
      </c>
      <c r="H38" s="30" t="s">
        <v>933</v>
      </c>
      <c r="I38" s="30"/>
      <c r="J38" s="30" t="s">
        <v>737</v>
      </c>
    </row>
    <row r="39" spans="1:12" x14ac:dyDescent="0.35">
      <c r="A39" s="29" t="s">
        <v>665</v>
      </c>
      <c r="B39" s="3">
        <v>2019</v>
      </c>
      <c r="C39" s="29" t="s">
        <v>142</v>
      </c>
      <c r="D39" s="29">
        <v>1</v>
      </c>
      <c r="E39" s="31">
        <v>0</v>
      </c>
      <c r="F39" s="31">
        <v>0</v>
      </c>
      <c r="G39" s="31">
        <v>0</v>
      </c>
      <c r="H39" s="30" t="s">
        <v>933</v>
      </c>
      <c r="I39" s="30"/>
      <c r="J39" s="30" t="s">
        <v>737</v>
      </c>
    </row>
    <row r="40" spans="1:12" x14ac:dyDescent="0.35">
      <c r="A40" s="29" t="s">
        <v>661</v>
      </c>
      <c r="B40" s="3">
        <v>2021</v>
      </c>
      <c r="C40" s="29" t="s">
        <v>743</v>
      </c>
      <c r="D40" s="29">
        <v>1</v>
      </c>
      <c r="E40" s="31">
        <v>1</v>
      </c>
      <c r="F40" s="31">
        <v>0</v>
      </c>
      <c r="G40" s="31">
        <v>0</v>
      </c>
      <c r="H40" s="30" t="s">
        <v>933</v>
      </c>
      <c r="I40" s="30" t="s">
        <v>732</v>
      </c>
      <c r="J40" s="30" t="s">
        <v>737</v>
      </c>
      <c r="K40" s="30" t="s">
        <v>934</v>
      </c>
      <c r="L40" s="30"/>
    </row>
    <row r="41" spans="1:12" x14ac:dyDescent="0.35">
      <c r="A41" s="29" t="s">
        <v>664</v>
      </c>
      <c r="B41" s="3">
        <v>2021</v>
      </c>
      <c r="C41" s="29" t="s">
        <v>113</v>
      </c>
      <c r="D41" s="29">
        <v>0</v>
      </c>
      <c r="E41" s="31">
        <v>1</v>
      </c>
      <c r="F41" s="31">
        <v>0</v>
      </c>
      <c r="G41" s="31">
        <v>0</v>
      </c>
      <c r="H41" s="38" t="s">
        <v>936</v>
      </c>
      <c r="I41" s="30"/>
      <c r="J41" s="30" t="s">
        <v>938</v>
      </c>
    </row>
    <row r="42" spans="1:12" x14ac:dyDescent="0.35">
      <c r="A42" s="29" t="s">
        <v>671</v>
      </c>
      <c r="B42" s="3">
        <v>2026</v>
      </c>
      <c r="C42" s="29" t="s">
        <v>479</v>
      </c>
      <c r="D42" s="29">
        <v>0</v>
      </c>
      <c r="E42" s="31">
        <v>1</v>
      </c>
      <c r="F42" s="31">
        <v>0</v>
      </c>
      <c r="G42" s="31">
        <v>0</v>
      </c>
      <c r="H42" s="30" t="s">
        <v>933</v>
      </c>
      <c r="I42" s="30"/>
      <c r="J42" s="30" t="s">
        <v>825</v>
      </c>
    </row>
    <row r="43" spans="1:12" x14ac:dyDescent="0.35">
      <c r="A43" s="29" t="s">
        <v>666</v>
      </c>
      <c r="B43" s="3">
        <v>2023</v>
      </c>
      <c r="C43" s="29" t="s">
        <v>51</v>
      </c>
      <c r="D43" s="29">
        <v>1</v>
      </c>
      <c r="E43" s="31">
        <v>0</v>
      </c>
      <c r="F43" s="31">
        <v>0</v>
      </c>
      <c r="G43" s="31">
        <v>0</v>
      </c>
      <c r="H43" s="30" t="s">
        <v>936</v>
      </c>
      <c r="I43" s="30"/>
      <c r="J43" s="39" t="s">
        <v>937</v>
      </c>
    </row>
    <row r="44" spans="1:12" x14ac:dyDescent="0.35">
      <c r="A44" s="29" t="s">
        <v>672</v>
      </c>
      <c r="B44" s="3">
        <v>2024</v>
      </c>
      <c r="C44" s="29" t="s">
        <v>739</v>
      </c>
      <c r="D44" s="29">
        <v>1</v>
      </c>
      <c r="E44" s="31">
        <v>0</v>
      </c>
      <c r="F44" s="31">
        <v>0</v>
      </c>
      <c r="G44" s="31">
        <v>0</v>
      </c>
      <c r="H44" s="30" t="s">
        <v>933</v>
      </c>
      <c r="I44" s="30"/>
      <c r="J44" s="30" t="s">
        <v>737</v>
      </c>
    </row>
    <row r="45" spans="1:12" x14ac:dyDescent="0.35">
      <c r="A45" s="29" t="s">
        <v>662</v>
      </c>
      <c r="B45" s="3">
        <v>2020</v>
      </c>
      <c r="C45" s="29" t="s">
        <v>142</v>
      </c>
      <c r="D45" s="29">
        <v>1</v>
      </c>
      <c r="E45" s="31">
        <v>0</v>
      </c>
      <c r="F45" s="31">
        <v>0</v>
      </c>
      <c r="G45" s="31">
        <v>0</v>
      </c>
      <c r="H45" s="30" t="s">
        <v>933</v>
      </c>
      <c r="I45" s="30"/>
      <c r="J45" s="30" t="s">
        <v>737</v>
      </c>
    </row>
    <row r="46" spans="1:12" x14ac:dyDescent="0.35">
      <c r="A46" s="29" t="s">
        <v>669</v>
      </c>
      <c r="B46" s="3">
        <v>2025</v>
      </c>
      <c r="C46" s="29" t="s">
        <v>51</v>
      </c>
      <c r="D46" s="29">
        <v>1</v>
      </c>
      <c r="E46" s="31">
        <v>0</v>
      </c>
      <c r="F46" s="31">
        <v>0</v>
      </c>
      <c r="G46" s="31">
        <v>0</v>
      </c>
      <c r="H46" s="30" t="s">
        <v>933</v>
      </c>
      <c r="I46" s="30"/>
      <c r="J46" s="30" t="s">
        <v>737</v>
      </c>
    </row>
    <row r="47" spans="1:12" x14ac:dyDescent="0.35">
      <c r="A47" s="29" t="s">
        <v>667</v>
      </c>
      <c r="B47" s="3">
        <v>2020</v>
      </c>
      <c r="C47" s="29" t="s">
        <v>63</v>
      </c>
      <c r="D47" s="29">
        <v>1</v>
      </c>
      <c r="E47" s="31">
        <v>1</v>
      </c>
      <c r="F47" s="31">
        <v>0</v>
      </c>
      <c r="G47" s="31">
        <v>0</v>
      </c>
      <c r="H47" s="30" t="s">
        <v>933</v>
      </c>
      <c r="I47" s="30" t="s">
        <v>732</v>
      </c>
      <c r="J47" s="30" t="s">
        <v>737</v>
      </c>
      <c r="K47" s="30" t="s">
        <v>934</v>
      </c>
      <c r="L47" s="30"/>
    </row>
    <row r="48" spans="1:12" x14ac:dyDescent="0.35">
      <c r="A48" s="29" t="s">
        <v>629</v>
      </c>
      <c r="B48" s="3">
        <v>2025</v>
      </c>
      <c r="C48" s="30" t="s">
        <v>744</v>
      </c>
      <c r="D48" s="30">
        <v>1</v>
      </c>
      <c r="E48" s="31">
        <v>0</v>
      </c>
      <c r="F48" s="31">
        <v>0</v>
      </c>
      <c r="G48" s="31">
        <v>0</v>
      </c>
      <c r="H48" s="30" t="s">
        <v>936</v>
      </c>
      <c r="I48" s="30"/>
      <c r="J48" s="39" t="s">
        <v>937</v>
      </c>
    </row>
    <row r="49" spans="1:12" x14ac:dyDescent="0.35">
      <c r="A49" s="29" t="s">
        <v>670</v>
      </c>
      <c r="B49" s="3">
        <v>2021</v>
      </c>
      <c r="C49" s="29" t="s">
        <v>850</v>
      </c>
      <c r="D49" s="29" t="s">
        <v>734</v>
      </c>
      <c r="E49" s="31" t="s">
        <v>734</v>
      </c>
      <c r="F49" s="31" t="s">
        <v>734</v>
      </c>
      <c r="G49" s="31" t="s">
        <v>734</v>
      </c>
      <c r="H49" s="30"/>
      <c r="I49" s="30"/>
      <c r="J49" s="30"/>
    </row>
    <row r="50" spans="1:12" x14ac:dyDescent="0.35">
      <c r="A50" s="29" t="s">
        <v>663</v>
      </c>
      <c r="B50" s="3">
        <v>2023</v>
      </c>
      <c r="C50" s="29" t="s">
        <v>431</v>
      </c>
      <c r="D50" s="29">
        <v>0</v>
      </c>
      <c r="E50" s="31">
        <v>1</v>
      </c>
      <c r="F50" s="31">
        <v>0</v>
      </c>
      <c r="G50" s="31">
        <v>0</v>
      </c>
      <c r="H50" s="30" t="s">
        <v>933</v>
      </c>
      <c r="I50" s="30"/>
      <c r="J50" s="30" t="s">
        <v>825</v>
      </c>
    </row>
    <row r="51" spans="1:12" x14ac:dyDescent="0.35">
      <c r="A51" s="29" t="s">
        <v>628</v>
      </c>
      <c r="B51" s="3">
        <v>2021</v>
      </c>
      <c r="C51" s="29" t="s">
        <v>740</v>
      </c>
      <c r="D51" s="29">
        <v>1</v>
      </c>
      <c r="E51" s="31">
        <v>0</v>
      </c>
      <c r="F51" s="31">
        <v>1</v>
      </c>
      <c r="G51" s="30">
        <v>0</v>
      </c>
      <c r="H51" s="30" t="s">
        <v>933</v>
      </c>
      <c r="I51" s="30" t="s">
        <v>730</v>
      </c>
      <c r="J51" s="30" t="s">
        <v>737</v>
      </c>
      <c r="K51" s="30" t="s">
        <v>934</v>
      </c>
      <c r="L51" s="30"/>
    </row>
    <row r="52" spans="1:12" x14ac:dyDescent="0.35">
      <c r="A52" s="29" t="s">
        <v>627</v>
      </c>
      <c r="B52" s="3">
        <v>2019</v>
      </c>
      <c r="C52" s="29" t="s">
        <v>155</v>
      </c>
      <c r="D52" s="29">
        <v>0</v>
      </c>
      <c r="E52" s="31">
        <v>0</v>
      </c>
      <c r="F52" s="31">
        <v>0</v>
      </c>
      <c r="G52" s="31">
        <v>1</v>
      </c>
      <c r="H52" s="30"/>
      <c r="I52" s="30"/>
      <c r="J52" s="30" t="s">
        <v>939</v>
      </c>
    </row>
    <row r="53" spans="1:12" x14ac:dyDescent="0.35">
      <c r="A53" s="29" t="s">
        <v>530</v>
      </c>
      <c r="B53" s="3">
        <v>2019</v>
      </c>
      <c r="C53" s="29" t="s">
        <v>142</v>
      </c>
      <c r="D53" s="29">
        <v>1</v>
      </c>
      <c r="E53" s="31">
        <v>1</v>
      </c>
      <c r="F53" s="31">
        <v>0</v>
      </c>
      <c r="G53" s="31">
        <v>0</v>
      </c>
      <c r="H53" s="39" t="s">
        <v>940</v>
      </c>
      <c r="I53" s="30" t="s">
        <v>732</v>
      </c>
      <c r="J53" s="30" t="s">
        <v>941</v>
      </c>
      <c r="K53" s="30"/>
      <c r="L53" s="30"/>
    </row>
    <row r="54" spans="1:12" s="18" customFormat="1" x14ac:dyDescent="0.35">
      <c r="A54" s="29" t="s">
        <v>895</v>
      </c>
      <c r="B54" s="1">
        <v>2026</v>
      </c>
      <c r="C54" s="29" t="s">
        <v>864</v>
      </c>
      <c r="D54" s="26">
        <v>1</v>
      </c>
      <c r="E54" s="33">
        <v>0</v>
      </c>
      <c r="F54" s="33">
        <v>0</v>
      </c>
      <c r="G54" s="33">
        <v>0</v>
      </c>
      <c r="H54" s="30" t="s">
        <v>933</v>
      </c>
      <c r="I54" s="30"/>
      <c r="J54" s="30" t="s">
        <v>737</v>
      </c>
    </row>
    <row r="55" spans="1:12" x14ac:dyDescent="0.35">
      <c r="A55" s="29" t="s">
        <v>896</v>
      </c>
      <c r="B55" s="1">
        <v>2026</v>
      </c>
      <c r="C55" s="3" t="s">
        <v>181</v>
      </c>
      <c r="D55" s="3">
        <v>1</v>
      </c>
      <c r="E55" s="31">
        <v>0</v>
      </c>
      <c r="F55" s="31">
        <v>0</v>
      </c>
      <c r="G55" s="32">
        <v>0</v>
      </c>
      <c r="H55" s="30" t="s">
        <v>933</v>
      </c>
      <c r="J55" s="30" t="s">
        <v>874</v>
      </c>
    </row>
    <row r="56" spans="1:12" x14ac:dyDescent="0.35">
      <c r="A56" s="29" t="s">
        <v>897</v>
      </c>
      <c r="B56" s="1">
        <v>2026</v>
      </c>
      <c r="C56" t="s">
        <v>411</v>
      </c>
      <c r="D56" s="3">
        <v>1</v>
      </c>
      <c r="E56" s="31">
        <v>0</v>
      </c>
      <c r="F56" s="31">
        <v>0</v>
      </c>
      <c r="G56" s="32">
        <v>0</v>
      </c>
      <c r="H56" s="30" t="s">
        <v>933</v>
      </c>
      <c r="J56" s="30" t="s">
        <v>737</v>
      </c>
    </row>
    <row r="57" spans="1:12" x14ac:dyDescent="0.35">
      <c r="A57" s="29" t="s">
        <v>898</v>
      </c>
      <c r="B57" s="1">
        <v>2026</v>
      </c>
      <c r="C57" s="3" t="s">
        <v>904</v>
      </c>
      <c r="D57" s="3">
        <v>1</v>
      </c>
      <c r="E57" s="31">
        <v>0</v>
      </c>
      <c r="F57" s="31">
        <v>0</v>
      </c>
      <c r="G57" s="32">
        <v>0</v>
      </c>
      <c r="H57" s="30" t="s">
        <v>933</v>
      </c>
      <c r="J57" s="30" t="s">
        <v>737</v>
      </c>
    </row>
    <row r="58" spans="1:12" x14ac:dyDescent="0.35">
      <c r="A58" s="29" t="s">
        <v>899</v>
      </c>
      <c r="B58" s="1">
        <v>2026</v>
      </c>
      <c r="C58" s="3" t="s">
        <v>909</v>
      </c>
      <c r="D58" s="3">
        <v>1</v>
      </c>
      <c r="E58" s="31">
        <v>0</v>
      </c>
      <c r="F58" s="31">
        <v>0</v>
      </c>
      <c r="G58" s="32">
        <v>0</v>
      </c>
      <c r="H58" s="39" t="s">
        <v>940</v>
      </c>
      <c r="J58" s="30" t="s">
        <v>910</v>
      </c>
      <c r="K58" s="41" t="s">
        <v>937</v>
      </c>
    </row>
  </sheetData>
  <autoFilter ref="A1:M58" xr:uid="{937EE452-E874-4037-AAAB-D71BDB0DC481}">
    <sortState xmlns:xlrd2="http://schemas.microsoft.com/office/spreadsheetml/2017/richdata2" ref="A2:M58">
      <sortCondition ref="A1:A54"/>
    </sortState>
  </autoFilter>
  <phoneticPr fontId="3"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C568-0B31-4C06-A7C0-69195092B460}">
  <sheetPr>
    <tabColor theme="8"/>
  </sheetPr>
  <dimension ref="A1:M48"/>
  <sheetViews>
    <sheetView view="pageBreakPreview" topLeftCell="A4" zoomScale="114" zoomScaleNormal="145" zoomScaleSheetLayoutView="190" workbookViewId="0">
      <selection activeCell="A6" sqref="A6:A10"/>
    </sheetView>
  </sheetViews>
  <sheetFormatPr defaultRowHeight="14.5" x14ac:dyDescent="0.35"/>
  <cols>
    <col min="1" max="1" width="28.453125" customWidth="1"/>
    <col min="2" max="2" width="16.36328125" customWidth="1"/>
    <col min="3" max="3" width="11.453125" customWidth="1"/>
  </cols>
  <sheetData>
    <row r="1" spans="1:13" s="17" customFormat="1" x14ac:dyDescent="0.35">
      <c r="A1" s="1" t="s">
        <v>815</v>
      </c>
      <c r="B1" s="1" t="s">
        <v>717</v>
      </c>
      <c r="C1" s="1" t="s">
        <v>564</v>
      </c>
      <c r="M1" s="3"/>
    </row>
    <row r="2" spans="1:13" x14ac:dyDescent="0.35">
      <c r="A2" s="3" t="s">
        <v>721</v>
      </c>
      <c r="B2" s="3">
        <f>COUNTIF(Extractions!$N$2:$N$58, $A2)</f>
        <v>13</v>
      </c>
      <c r="C2" s="3"/>
      <c r="M2" s="3"/>
    </row>
    <row r="3" spans="1:13" x14ac:dyDescent="0.35">
      <c r="A3" s="3" t="s">
        <v>818</v>
      </c>
      <c r="B3" s="3">
        <f>COUNTIF(Extractions!$N$2:$N$58, $A3)</f>
        <v>11</v>
      </c>
      <c r="C3" s="3"/>
      <c r="M3" s="3"/>
    </row>
    <row r="4" spans="1:13" x14ac:dyDescent="0.35">
      <c r="A4" s="3" t="s">
        <v>273</v>
      </c>
      <c r="B4" s="3">
        <f>COUNTIF(Extractions!$N$2:$N$58, $A4)</f>
        <v>11</v>
      </c>
      <c r="C4" s="3"/>
      <c r="M4" s="3"/>
    </row>
    <row r="5" spans="1:13" x14ac:dyDescent="0.35">
      <c r="A5" s="3" t="s">
        <v>128</v>
      </c>
      <c r="B5" s="3">
        <f>COUNTIF(Extractions!$N$2:$N$58, $A5)</f>
        <v>8</v>
      </c>
      <c r="C5" s="3"/>
      <c r="M5" s="3"/>
    </row>
    <row r="6" spans="1:13" x14ac:dyDescent="0.35">
      <c r="A6" s="3" t="s">
        <v>830</v>
      </c>
      <c r="B6" s="3">
        <f>COUNTIF(Extractions!$N$2:$N$58, $A6)</f>
        <v>3</v>
      </c>
      <c r="C6" s="3"/>
      <c r="M6" s="3"/>
    </row>
    <row r="7" spans="1:13" x14ac:dyDescent="0.35">
      <c r="A7" s="3" t="s">
        <v>820</v>
      </c>
      <c r="B7" s="3">
        <f>COUNTIF(Extractions!$N$2:$N$58, $A7)</f>
        <v>3</v>
      </c>
      <c r="C7" s="3"/>
      <c r="M7" s="3"/>
    </row>
    <row r="8" spans="1:13" x14ac:dyDescent="0.35">
      <c r="A8" s="3" t="s">
        <v>821</v>
      </c>
      <c r="B8" s="3">
        <f>COUNTIF(Extractions!$N$2:$N$58, $A8)</f>
        <v>3</v>
      </c>
      <c r="C8" s="3"/>
      <c r="M8" s="3"/>
    </row>
    <row r="9" spans="1:13" x14ac:dyDescent="0.35">
      <c r="A9" s="3" t="s">
        <v>814</v>
      </c>
      <c r="B9" s="3">
        <f>COUNTIF(Extractions!$N$2:$N$58, $A9)</f>
        <v>3</v>
      </c>
      <c r="C9" s="3"/>
      <c r="M9" s="3"/>
    </row>
    <row r="10" spans="1:13" x14ac:dyDescent="0.35">
      <c r="A10" s="3" t="s">
        <v>720</v>
      </c>
      <c r="B10" s="3">
        <f>COUNTIF(Extractions!$N$2:$N$58, $A10)</f>
        <v>2</v>
      </c>
      <c r="C10" s="3"/>
      <c r="M10" s="3"/>
    </row>
    <row r="11" spans="1:13" x14ac:dyDescent="0.35">
      <c r="M11" s="3"/>
    </row>
    <row r="12" spans="1:13" x14ac:dyDescent="0.35">
      <c r="M12" s="3"/>
    </row>
    <row r="13" spans="1:13" x14ac:dyDescent="0.35">
      <c r="M13" s="3"/>
    </row>
    <row r="14" spans="1:13" x14ac:dyDescent="0.35">
      <c r="M14" s="3"/>
    </row>
    <row r="15" spans="1:13" x14ac:dyDescent="0.35">
      <c r="M15" s="3"/>
    </row>
    <row r="16" spans="1:13" x14ac:dyDescent="0.35">
      <c r="M16" s="3"/>
    </row>
    <row r="17" spans="13:13" x14ac:dyDescent="0.35">
      <c r="M17" s="3"/>
    </row>
    <row r="18" spans="13:13" x14ac:dyDescent="0.35">
      <c r="M18" s="3"/>
    </row>
    <row r="19" spans="13:13" x14ac:dyDescent="0.35">
      <c r="M19" s="3"/>
    </row>
    <row r="20" spans="13:13" x14ac:dyDescent="0.35">
      <c r="M20" s="3"/>
    </row>
    <row r="21" spans="13:13" x14ac:dyDescent="0.35">
      <c r="M21" s="3"/>
    </row>
    <row r="22" spans="13:13" x14ac:dyDescent="0.35">
      <c r="M22" s="3"/>
    </row>
    <row r="23" spans="13:13" x14ac:dyDescent="0.35">
      <c r="M23" s="3"/>
    </row>
    <row r="24" spans="13:13" x14ac:dyDescent="0.35">
      <c r="M24" s="3"/>
    </row>
    <row r="25" spans="13:13" x14ac:dyDescent="0.35">
      <c r="M25" s="3"/>
    </row>
    <row r="26" spans="13:13" x14ac:dyDescent="0.35">
      <c r="M26" s="3"/>
    </row>
    <row r="27" spans="13:13" x14ac:dyDescent="0.35">
      <c r="M27" s="3"/>
    </row>
    <row r="28" spans="13:13" x14ac:dyDescent="0.35">
      <c r="M28" s="3"/>
    </row>
    <row r="29" spans="13:13" x14ac:dyDescent="0.35">
      <c r="M29" s="3"/>
    </row>
    <row r="30" spans="13:13" x14ac:dyDescent="0.35">
      <c r="M30" s="3"/>
    </row>
    <row r="31" spans="13:13" x14ac:dyDescent="0.35">
      <c r="M31" s="3"/>
    </row>
    <row r="32" spans="13:13" x14ac:dyDescent="0.35">
      <c r="M32" s="3"/>
    </row>
    <row r="33" spans="13:13" x14ac:dyDescent="0.35">
      <c r="M33" s="3"/>
    </row>
    <row r="34" spans="13:13" x14ac:dyDescent="0.35">
      <c r="M34" s="4"/>
    </row>
    <row r="35" spans="13:13" x14ac:dyDescent="0.35">
      <c r="M35" s="3"/>
    </row>
    <row r="36" spans="13:13" x14ac:dyDescent="0.35">
      <c r="M36" s="3"/>
    </row>
    <row r="37" spans="13:13" x14ac:dyDescent="0.35">
      <c r="M37" s="3"/>
    </row>
    <row r="38" spans="13:13" x14ac:dyDescent="0.35">
      <c r="M38" s="3"/>
    </row>
    <row r="39" spans="13:13" x14ac:dyDescent="0.35">
      <c r="M39" s="3"/>
    </row>
    <row r="40" spans="13:13" x14ac:dyDescent="0.35">
      <c r="M40" s="3"/>
    </row>
    <row r="41" spans="13:13" x14ac:dyDescent="0.35">
      <c r="M41" s="3"/>
    </row>
    <row r="42" spans="13:13" x14ac:dyDescent="0.35">
      <c r="M42" s="3"/>
    </row>
    <row r="43" spans="13:13" x14ac:dyDescent="0.35">
      <c r="M43" s="3"/>
    </row>
    <row r="44" spans="13:13" x14ac:dyDescent="0.35">
      <c r="M44" s="3"/>
    </row>
    <row r="45" spans="13:13" x14ac:dyDescent="0.35">
      <c r="M45" s="3"/>
    </row>
    <row r="46" spans="13:13" x14ac:dyDescent="0.35">
      <c r="M46" s="3"/>
    </row>
    <row r="47" spans="13:13" x14ac:dyDescent="0.35">
      <c r="M47" s="3"/>
    </row>
    <row r="48" spans="13:13" x14ac:dyDescent="0.35">
      <c r="M48" s="3"/>
    </row>
  </sheetData>
  <autoFilter ref="A1:C1" xr:uid="{0319C568-0B31-4C06-A7C0-69195092B460}">
    <sortState xmlns:xlrd2="http://schemas.microsoft.com/office/spreadsheetml/2017/richdata2" ref="A2:C10">
      <sortCondition descending="1" ref="B1"/>
    </sortState>
  </autoFilter>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4D96-9B06-4AE9-B3C3-1CDE7E731074}">
  <sheetPr>
    <tabColor rgb="FF00B050"/>
  </sheetPr>
  <dimension ref="A1:P63"/>
  <sheetViews>
    <sheetView workbookViewId="0">
      <pane ySplit="1" topLeftCell="A8" activePane="bottomLeft" state="frozen"/>
      <selection pane="bottomLeft" activeCell="B5" sqref="B5"/>
    </sheetView>
  </sheetViews>
  <sheetFormatPr defaultRowHeight="14.5" x14ac:dyDescent="0.35"/>
  <cols>
    <col min="1" max="1" width="7" style="3" customWidth="1"/>
    <col min="2" max="2" width="21.453125" customWidth="1"/>
    <col min="3" max="3" width="21.36328125" customWidth="1"/>
    <col min="4" max="4" width="21.81640625" customWidth="1"/>
    <col min="5" max="5" width="11.453125" customWidth="1"/>
    <col min="7" max="7" width="15.1796875" customWidth="1"/>
    <col min="8" max="8" width="11.81640625" customWidth="1"/>
    <col min="11" max="11" width="16.6328125" customWidth="1"/>
  </cols>
  <sheetData>
    <row r="1" spans="1:13" s="17" customFormat="1" x14ac:dyDescent="0.35">
      <c r="A1" s="26" t="s">
        <v>16</v>
      </c>
      <c r="B1" s="26" t="s">
        <v>852</v>
      </c>
      <c r="C1" s="26" t="s">
        <v>853</v>
      </c>
      <c r="D1" s="26" t="s">
        <v>854</v>
      </c>
      <c r="E1" s="26" t="s">
        <v>745</v>
      </c>
      <c r="F1" s="26" t="s">
        <v>746</v>
      </c>
      <c r="G1" s="26" t="s">
        <v>855</v>
      </c>
      <c r="H1" s="26" t="s">
        <v>856</v>
      </c>
    </row>
    <row r="2" spans="1:13" x14ac:dyDescent="0.35">
      <c r="A2" s="29" t="s">
        <v>923</v>
      </c>
      <c r="B2" s="29" t="s">
        <v>750</v>
      </c>
      <c r="C2" s="29" t="s">
        <v>748</v>
      </c>
      <c r="D2" s="29" t="s">
        <v>760</v>
      </c>
      <c r="E2" s="29" t="s">
        <v>31</v>
      </c>
      <c r="F2" s="29" t="s">
        <v>21</v>
      </c>
      <c r="G2" s="29" t="s">
        <v>18</v>
      </c>
      <c r="H2" s="29" t="s">
        <v>749</v>
      </c>
    </row>
    <row r="3" spans="1:13" x14ac:dyDescent="0.35">
      <c r="A3" s="29" t="s">
        <v>920</v>
      </c>
      <c r="B3" s="29" t="s">
        <v>752</v>
      </c>
      <c r="C3" s="29" t="s">
        <v>753</v>
      </c>
      <c r="D3" s="29"/>
      <c r="E3" s="29" t="s">
        <v>751</v>
      </c>
      <c r="F3" s="29" t="s">
        <v>21</v>
      </c>
      <c r="G3" s="29" t="s">
        <v>18</v>
      </c>
      <c r="H3" s="29" t="s">
        <v>29</v>
      </c>
    </row>
    <row r="4" spans="1:13" x14ac:dyDescent="0.35">
      <c r="A4" s="29" t="s">
        <v>926</v>
      </c>
      <c r="B4" s="29" t="s">
        <v>754</v>
      </c>
      <c r="C4" s="29"/>
      <c r="D4" s="29"/>
      <c r="E4" s="29" t="s">
        <v>751</v>
      </c>
      <c r="F4" s="29" t="s">
        <v>21</v>
      </c>
      <c r="G4" s="29" t="s">
        <v>18</v>
      </c>
      <c r="H4" s="29" t="s">
        <v>30</v>
      </c>
    </row>
    <row r="5" spans="1:13" x14ac:dyDescent="0.35">
      <c r="A5" s="29" t="s">
        <v>919</v>
      </c>
      <c r="B5" s="29" t="s">
        <v>804</v>
      </c>
      <c r="C5" s="29" t="s">
        <v>755</v>
      </c>
      <c r="D5" s="29"/>
      <c r="E5" s="29" t="s">
        <v>31</v>
      </c>
      <c r="F5" s="29" t="s">
        <v>21</v>
      </c>
      <c r="G5" s="29" t="s">
        <v>18</v>
      </c>
      <c r="H5" s="29" t="s">
        <v>29</v>
      </c>
    </row>
    <row r="6" spans="1:13" x14ac:dyDescent="0.35">
      <c r="A6" s="29" t="s">
        <v>927</v>
      </c>
      <c r="B6" s="29" t="s">
        <v>756</v>
      </c>
      <c r="C6" s="29"/>
      <c r="D6" s="29"/>
      <c r="E6" s="29" t="s">
        <v>31</v>
      </c>
      <c r="F6" s="29" t="s">
        <v>21</v>
      </c>
      <c r="G6" s="29" t="s">
        <v>18</v>
      </c>
      <c r="H6" s="29" t="s">
        <v>30</v>
      </c>
      <c r="K6" t="s">
        <v>774</v>
      </c>
      <c r="L6">
        <v>28</v>
      </c>
      <c r="M6" t="s">
        <v>944</v>
      </c>
    </row>
    <row r="7" spans="1:13" x14ac:dyDescent="0.35">
      <c r="A7" s="29" t="s">
        <v>925</v>
      </c>
      <c r="B7" s="29" t="s">
        <v>780</v>
      </c>
      <c r="C7" s="29"/>
      <c r="D7" s="29"/>
      <c r="E7" s="29" t="s">
        <v>751</v>
      </c>
      <c r="F7" s="29"/>
      <c r="G7" s="29" t="s">
        <v>320</v>
      </c>
      <c r="H7" s="29" t="s">
        <v>30</v>
      </c>
      <c r="K7" t="s">
        <v>775</v>
      </c>
      <c r="L7">
        <v>21</v>
      </c>
      <c r="M7" t="s">
        <v>945</v>
      </c>
    </row>
    <row r="8" spans="1:13" x14ac:dyDescent="0.35">
      <c r="A8" s="29" t="s">
        <v>924</v>
      </c>
      <c r="B8" s="29" t="s">
        <v>757</v>
      </c>
      <c r="C8" s="29"/>
      <c r="D8" s="29"/>
      <c r="E8" s="29" t="s">
        <v>87</v>
      </c>
      <c r="F8" s="29"/>
      <c r="G8" s="29" t="s">
        <v>18</v>
      </c>
      <c r="H8" s="29" t="s">
        <v>30</v>
      </c>
      <c r="K8" t="s">
        <v>776</v>
      </c>
      <c r="L8">
        <v>3</v>
      </c>
      <c r="M8" t="s">
        <v>948</v>
      </c>
    </row>
    <row r="9" spans="1:13" s="19" customFormat="1" x14ac:dyDescent="0.35">
      <c r="A9" s="29" t="s">
        <v>922</v>
      </c>
      <c r="B9" s="29" t="s">
        <v>781</v>
      </c>
      <c r="C9" s="29" t="s">
        <v>755</v>
      </c>
      <c r="D9" s="29"/>
      <c r="E9" s="29" t="s">
        <v>87</v>
      </c>
      <c r="F9" s="29" t="s">
        <v>758</v>
      </c>
      <c r="G9" s="29" t="s">
        <v>320</v>
      </c>
      <c r="H9" s="29" t="s">
        <v>782</v>
      </c>
      <c r="K9" s="19" t="s">
        <v>777</v>
      </c>
      <c r="L9" s="19">
        <v>5</v>
      </c>
      <c r="M9" s="19" t="s">
        <v>947</v>
      </c>
    </row>
    <row r="10" spans="1:13" x14ac:dyDescent="0.35">
      <c r="A10" s="29" t="s">
        <v>921</v>
      </c>
      <c r="B10" s="29" t="s">
        <v>810</v>
      </c>
      <c r="C10" s="29" t="s">
        <v>753</v>
      </c>
      <c r="D10" s="29"/>
      <c r="E10" s="29" t="s">
        <v>751</v>
      </c>
      <c r="F10" s="29" t="s">
        <v>21</v>
      </c>
      <c r="G10" s="29" t="s">
        <v>18</v>
      </c>
      <c r="H10" s="29" t="s">
        <v>29</v>
      </c>
      <c r="K10" t="s">
        <v>31</v>
      </c>
      <c r="L10">
        <v>27</v>
      </c>
    </row>
    <row r="11" spans="1:13" x14ac:dyDescent="0.35">
      <c r="A11" s="29" t="s">
        <v>633</v>
      </c>
      <c r="B11" s="29" t="s">
        <v>196</v>
      </c>
      <c r="C11" s="29" t="s">
        <v>755</v>
      </c>
      <c r="D11" s="29"/>
      <c r="E11" s="29" t="s">
        <v>751</v>
      </c>
      <c r="F11" s="29" t="s">
        <v>21</v>
      </c>
      <c r="G11" s="29" t="s">
        <v>22</v>
      </c>
      <c r="H11" s="29" t="s">
        <v>29</v>
      </c>
      <c r="K11" t="s">
        <v>87</v>
      </c>
      <c r="L11">
        <v>2</v>
      </c>
    </row>
    <row r="12" spans="1:13" x14ac:dyDescent="0.35">
      <c r="A12" s="29" t="s">
        <v>625</v>
      </c>
      <c r="B12" s="29" t="s">
        <v>289</v>
      </c>
      <c r="C12" s="29"/>
      <c r="D12" s="29"/>
      <c r="E12" s="29" t="s">
        <v>31</v>
      </c>
      <c r="F12" s="29"/>
      <c r="G12" s="29"/>
      <c r="H12" s="29" t="s">
        <v>30</v>
      </c>
      <c r="K12" t="s">
        <v>42</v>
      </c>
      <c r="L12">
        <v>28</v>
      </c>
    </row>
    <row r="13" spans="1:13" x14ac:dyDescent="0.35">
      <c r="A13" s="29" t="s">
        <v>636</v>
      </c>
      <c r="B13" s="29" t="s">
        <v>759</v>
      </c>
      <c r="C13" s="29"/>
      <c r="D13" s="29" t="s">
        <v>760</v>
      </c>
      <c r="E13" s="29" t="s">
        <v>31</v>
      </c>
      <c r="F13" s="29" t="s">
        <v>21</v>
      </c>
      <c r="G13" s="29" t="s">
        <v>18</v>
      </c>
      <c r="H13" s="29" t="s">
        <v>29</v>
      </c>
      <c r="K13" t="s">
        <v>779</v>
      </c>
      <c r="L13">
        <v>32</v>
      </c>
      <c r="M13" t="s">
        <v>946</v>
      </c>
    </row>
    <row r="14" spans="1:13" x14ac:dyDescent="0.35">
      <c r="A14" s="29" t="s">
        <v>642</v>
      </c>
      <c r="B14" s="29" t="s">
        <v>783</v>
      </c>
      <c r="C14" s="29" t="s">
        <v>748</v>
      </c>
      <c r="D14" s="29"/>
      <c r="E14" s="29" t="s">
        <v>751</v>
      </c>
      <c r="F14" s="29" t="s">
        <v>21</v>
      </c>
      <c r="G14" s="29" t="s">
        <v>18</v>
      </c>
      <c r="H14" s="29" t="s">
        <v>749</v>
      </c>
      <c r="K14" t="s">
        <v>85</v>
      </c>
      <c r="L14">
        <v>2</v>
      </c>
    </row>
    <row r="15" spans="1:13" x14ac:dyDescent="0.35">
      <c r="A15" s="29" t="s">
        <v>644</v>
      </c>
      <c r="B15" s="29" t="s">
        <v>759</v>
      </c>
      <c r="C15" s="29" t="s">
        <v>748</v>
      </c>
      <c r="D15" s="29" t="s">
        <v>761</v>
      </c>
      <c r="E15" s="29" t="s">
        <v>31</v>
      </c>
      <c r="F15" s="29"/>
      <c r="G15" s="29" t="s">
        <v>18</v>
      </c>
      <c r="H15" s="29" t="s">
        <v>29</v>
      </c>
      <c r="K15" t="s">
        <v>292</v>
      </c>
      <c r="L15">
        <v>2</v>
      </c>
    </row>
    <row r="16" spans="1:13" x14ac:dyDescent="0.35">
      <c r="A16" s="29" t="s">
        <v>647</v>
      </c>
      <c r="B16" s="29" t="s">
        <v>784</v>
      </c>
      <c r="C16" s="29"/>
      <c r="D16" s="29"/>
      <c r="E16" s="29" t="s">
        <v>751</v>
      </c>
      <c r="F16" s="29"/>
      <c r="G16" s="29" t="s">
        <v>22</v>
      </c>
      <c r="H16" s="29" t="s">
        <v>29</v>
      </c>
    </row>
    <row r="17" spans="1:16" x14ac:dyDescent="0.35">
      <c r="A17" s="29" t="s">
        <v>651</v>
      </c>
      <c r="B17" s="29" t="s">
        <v>762</v>
      </c>
      <c r="C17" s="29"/>
      <c r="D17" s="29"/>
      <c r="E17" s="29" t="s">
        <v>751</v>
      </c>
      <c r="F17" s="29"/>
      <c r="G17" s="29" t="s">
        <v>22</v>
      </c>
      <c r="H17" s="29" t="s">
        <v>782</v>
      </c>
      <c r="K17" s="40" t="s">
        <v>799</v>
      </c>
      <c r="L17" s="40"/>
      <c r="M17" s="40"/>
      <c r="N17" s="40"/>
      <c r="O17" s="20"/>
      <c r="P17" s="20"/>
    </row>
    <row r="18" spans="1:16" x14ac:dyDescent="0.35">
      <c r="A18" s="29" t="s">
        <v>648</v>
      </c>
      <c r="B18" s="29" t="s">
        <v>412</v>
      </c>
      <c r="C18" s="29"/>
      <c r="D18" s="29"/>
      <c r="E18" s="29" t="s">
        <v>31</v>
      </c>
      <c r="F18" s="29" t="s">
        <v>21</v>
      </c>
      <c r="G18" s="29"/>
      <c r="H18" s="29" t="s">
        <v>30</v>
      </c>
      <c r="K18" s="20" t="s">
        <v>800</v>
      </c>
      <c r="L18" s="20" t="s">
        <v>432</v>
      </c>
      <c r="M18" s="20" t="s">
        <v>30</v>
      </c>
      <c r="N18" s="20" t="s">
        <v>782</v>
      </c>
      <c r="O18" s="20"/>
      <c r="P18" s="20"/>
    </row>
    <row r="19" spans="1:16" s="19" customFormat="1" x14ac:dyDescent="0.35">
      <c r="A19" s="29" t="s">
        <v>638</v>
      </c>
      <c r="B19" s="29" t="s">
        <v>811</v>
      </c>
      <c r="C19" s="29"/>
      <c r="D19" s="29"/>
      <c r="E19" s="29" t="s">
        <v>751</v>
      </c>
      <c r="F19" s="29" t="s">
        <v>21</v>
      </c>
      <c r="G19" s="29" t="s">
        <v>18</v>
      </c>
      <c r="H19" s="29" t="s">
        <v>30</v>
      </c>
      <c r="K19" s="19">
        <v>9</v>
      </c>
      <c r="L19" s="19">
        <v>6</v>
      </c>
      <c r="M19" s="19">
        <v>52</v>
      </c>
      <c r="N19" s="19">
        <v>4</v>
      </c>
    </row>
    <row r="20" spans="1:16" x14ac:dyDescent="0.35">
      <c r="A20" s="29" t="s">
        <v>639</v>
      </c>
      <c r="B20" s="29" t="s">
        <v>763</v>
      </c>
      <c r="C20" s="29"/>
      <c r="D20" s="29"/>
      <c r="E20" s="29" t="s">
        <v>31</v>
      </c>
      <c r="F20" s="29" t="s">
        <v>21</v>
      </c>
      <c r="G20" s="29" t="s">
        <v>18</v>
      </c>
      <c r="H20" s="29" t="s">
        <v>30</v>
      </c>
      <c r="K20" s="20" t="s">
        <v>18</v>
      </c>
      <c r="L20" s="20" t="s">
        <v>22</v>
      </c>
      <c r="M20" s="20" t="s">
        <v>320</v>
      </c>
      <c r="N20" s="20" t="s">
        <v>801</v>
      </c>
      <c r="O20" s="20" t="s">
        <v>802</v>
      </c>
      <c r="P20" s="20" t="s">
        <v>741</v>
      </c>
    </row>
    <row r="21" spans="1:16" x14ac:dyDescent="0.35">
      <c r="A21" s="29" t="s">
        <v>641</v>
      </c>
      <c r="B21" s="29" t="s">
        <v>764</v>
      </c>
      <c r="C21" s="29"/>
      <c r="D21" s="29"/>
      <c r="E21" s="29" t="s">
        <v>751</v>
      </c>
      <c r="F21" s="29" t="s">
        <v>21</v>
      </c>
      <c r="G21" s="29" t="s">
        <v>18</v>
      </c>
      <c r="H21" s="29" t="s">
        <v>30</v>
      </c>
      <c r="K21" s="20">
        <v>37</v>
      </c>
      <c r="L21" s="20">
        <v>8</v>
      </c>
      <c r="M21" s="20">
        <v>5</v>
      </c>
      <c r="N21" s="20">
        <v>1</v>
      </c>
      <c r="O21" s="20">
        <v>1</v>
      </c>
      <c r="P21" s="20">
        <v>5</v>
      </c>
    </row>
    <row r="22" spans="1:16" x14ac:dyDescent="0.35">
      <c r="A22" s="29" t="s">
        <v>637</v>
      </c>
      <c r="B22" s="29" t="s">
        <v>759</v>
      </c>
      <c r="C22" s="29"/>
      <c r="D22" s="29"/>
      <c r="E22" s="29" t="s">
        <v>31</v>
      </c>
      <c r="F22" s="29" t="s">
        <v>21</v>
      </c>
      <c r="G22" s="29" t="s">
        <v>18</v>
      </c>
      <c r="H22" s="29" t="s">
        <v>30</v>
      </c>
    </row>
    <row r="23" spans="1:16" x14ac:dyDescent="0.35">
      <c r="A23" s="29" t="s">
        <v>643</v>
      </c>
      <c r="B23" s="29" t="s">
        <v>805</v>
      </c>
      <c r="C23" s="29" t="s">
        <v>747</v>
      </c>
      <c r="D23" s="29" t="s">
        <v>765</v>
      </c>
      <c r="E23" s="29" t="s">
        <v>31</v>
      </c>
      <c r="F23" s="29" t="s">
        <v>21</v>
      </c>
      <c r="G23" s="29" t="s">
        <v>18</v>
      </c>
      <c r="H23" s="29" t="s">
        <v>749</v>
      </c>
      <c r="K23" s="40" t="s">
        <v>807</v>
      </c>
      <c r="L23" s="40"/>
      <c r="M23" s="40"/>
      <c r="N23" s="40"/>
      <c r="O23" s="40"/>
      <c r="P23" s="40"/>
    </row>
    <row r="24" spans="1:16" x14ac:dyDescent="0.35">
      <c r="A24" s="29" t="s">
        <v>640</v>
      </c>
      <c r="B24" s="29" t="s">
        <v>785</v>
      </c>
      <c r="C24" s="29"/>
      <c r="D24" s="29"/>
      <c r="E24" s="29" t="s">
        <v>31</v>
      </c>
      <c r="F24" s="29" t="s">
        <v>21</v>
      </c>
      <c r="G24" s="29" t="s">
        <v>18</v>
      </c>
      <c r="H24" s="29" t="s">
        <v>30</v>
      </c>
      <c r="K24" s="20" t="s">
        <v>800</v>
      </c>
      <c r="L24" s="20" t="s">
        <v>432</v>
      </c>
      <c r="M24" s="20" t="s">
        <v>30</v>
      </c>
      <c r="N24" s="20" t="s">
        <v>782</v>
      </c>
      <c r="O24" s="20"/>
      <c r="P24" s="20"/>
    </row>
    <row r="25" spans="1:16" x14ac:dyDescent="0.35">
      <c r="A25" s="29" t="s">
        <v>646</v>
      </c>
      <c r="B25" s="29" t="s">
        <v>289</v>
      </c>
      <c r="C25" s="29"/>
      <c r="D25" s="29"/>
      <c r="E25" s="29" t="s">
        <v>31</v>
      </c>
      <c r="F25" s="29" t="s">
        <v>156</v>
      </c>
      <c r="G25" s="29" t="s">
        <v>22</v>
      </c>
      <c r="H25" s="29" t="s">
        <v>30</v>
      </c>
      <c r="K25" s="20">
        <v>0</v>
      </c>
      <c r="L25" s="20">
        <v>25</v>
      </c>
      <c r="M25" s="20">
        <v>0</v>
      </c>
      <c r="N25" s="20">
        <v>2</v>
      </c>
      <c r="O25" s="20"/>
      <c r="P25" s="20"/>
    </row>
    <row r="26" spans="1:16" x14ac:dyDescent="0.35">
      <c r="A26" s="29" t="s">
        <v>649</v>
      </c>
      <c r="B26" s="29" t="s">
        <v>759</v>
      </c>
      <c r="C26" s="29"/>
      <c r="D26" s="29"/>
      <c r="E26" s="29" t="s">
        <v>31</v>
      </c>
      <c r="F26" s="29" t="s">
        <v>21</v>
      </c>
      <c r="G26" s="29" t="s">
        <v>18</v>
      </c>
      <c r="H26" s="29" t="s">
        <v>30</v>
      </c>
      <c r="K26" s="20" t="s">
        <v>18</v>
      </c>
      <c r="L26" s="20" t="s">
        <v>22</v>
      </c>
      <c r="M26" s="20" t="s">
        <v>320</v>
      </c>
      <c r="N26" s="20" t="s">
        <v>801</v>
      </c>
      <c r="O26" s="20" t="s">
        <v>802</v>
      </c>
      <c r="P26" s="20" t="s">
        <v>741</v>
      </c>
    </row>
    <row r="27" spans="1:16" x14ac:dyDescent="0.35">
      <c r="A27" s="29" t="s">
        <v>645</v>
      </c>
      <c r="B27" s="29" t="s">
        <v>766</v>
      </c>
      <c r="C27" s="29" t="s">
        <v>747</v>
      </c>
      <c r="D27" s="29"/>
      <c r="E27" s="29" t="s">
        <v>751</v>
      </c>
      <c r="F27" s="29"/>
      <c r="G27" s="29"/>
      <c r="H27" s="29" t="s">
        <v>29</v>
      </c>
      <c r="K27" s="20">
        <v>17</v>
      </c>
      <c r="L27" s="20">
        <v>3</v>
      </c>
      <c r="M27" s="20">
        <v>3</v>
      </c>
      <c r="N27" s="20">
        <v>1</v>
      </c>
      <c r="O27" s="20">
        <v>1</v>
      </c>
      <c r="P27" s="20">
        <v>2</v>
      </c>
    </row>
    <row r="28" spans="1:16" x14ac:dyDescent="0.35">
      <c r="A28" s="29" t="s">
        <v>652</v>
      </c>
      <c r="B28" s="29" t="s">
        <v>289</v>
      </c>
      <c r="C28" s="29"/>
      <c r="D28" s="29"/>
      <c r="E28" s="29" t="s">
        <v>31</v>
      </c>
      <c r="F28" s="29" t="s">
        <v>21</v>
      </c>
      <c r="G28" s="29" t="s">
        <v>18</v>
      </c>
      <c r="H28" s="29" t="s">
        <v>30</v>
      </c>
    </row>
    <row r="29" spans="1:16" x14ac:dyDescent="0.35">
      <c r="A29" s="29" t="s">
        <v>650</v>
      </c>
      <c r="B29" s="29" t="s">
        <v>762</v>
      </c>
      <c r="C29" s="29" t="s">
        <v>755</v>
      </c>
      <c r="D29" s="29"/>
      <c r="E29" s="29" t="s">
        <v>751</v>
      </c>
      <c r="F29" s="29" t="s">
        <v>21</v>
      </c>
      <c r="G29" s="29" t="s">
        <v>22</v>
      </c>
      <c r="H29" s="29" t="s">
        <v>782</v>
      </c>
      <c r="K29" s="40" t="s">
        <v>808</v>
      </c>
      <c r="L29" s="40"/>
      <c r="M29" s="40"/>
      <c r="N29" s="40"/>
    </row>
    <row r="30" spans="1:16" x14ac:dyDescent="0.35">
      <c r="A30" s="29" t="s">
        <v>653</v>
      </c>
      <c r="B30" s="29" t="s">
        <v>759</v>
      </c>
      <c r="C30" s="29"/>
      <c r="D30" s="29"/>
      <c r="E30" s="29" t="s">
        <v>31</v>
      </c>
      <c r="F30" s="29"/>
      <c r="G30" s="29" t="s">
        <v>22</v>
      </c>
      <c r="H30" s="29" t="s">
        <v>30</v>
      </c>
      <c r="K30" s="20" t="s">
        <v>800</v>
      </c>
      <c r="L30" s="20" t="s">
        <v>432</v>
      </c>
      <c r="M30" s="20" t="s">
        <v>30</v>
      </c>
      <c r="N30" s="20" t="s">
        <v>782</v>
      </c>
    </row>
    <row r="31" spans="1:16" x14ac:dyDescent="0.35">
      <c r="A31" s="29" t="s">
        <v>656</v>
      </c>
      <c r="B31" s="29" t="s">
        <v>786</v>
      </c>
      <c r="C31" s="29"/>
      <c r="D31" s="29"/>
      <c r="E31" s="29" t="s">
        <v>751</v>
      </c>
      <c r="F31" s="29"/>
      <c r="G31" s="29" t="s">
        <v>320</v>
      </c>
      <c r="H31" s="29" t="s">
        <v>30</v>
      </c>
      <c r="K31" s="20">
        <v>0</v>
      </c>
      <c r="L31" s="20">
        <v>8</v>
      </c>
      <c r="M31" s="20">
        <v>0</v>
      </c>
      <c r="N31" s="20">
        <v>0</v>
      </c>
    </row>
    <row r="32" spans="1:16" x14ac:dyDescent="0.35">
      <c r="A32" s="29" t="s">
        <v>655</v>
      </c>
      <c r="B32" s="29" t="s">
        <v>809</v>
      </c>
      <c r="C32" s="29" t="s">
        <v>755</v>
      </c>
      <c r="D32" s="29"/>
      <c r="E32" s="29" t="s">
        <v>751</v>
      </c>
      <c r="F32" s="29" t="s">
        <v>21</v>
      </c>
      <c r="G32" s="29" t="s">
        <v>18</v>
      </c>
      <c r="H32" s="29" t="s">
        <v>749</v>
      </c>
      <c r="K32" s="20" t="s">
        <v>18</v>
      </c>
      <c r="L32" s="20" t="s">
        <v>22</v>
      </c>
      <c r="M32" s="20" t="s">
        <v>320</v>
      </c>
      <c r="N32" s="20" t="s">
        <v>741</v>
      </c>
      <c r="O32" s="20"/>
      <c r="P32" s="20"/>
    </row>
    <row r="33" spans="1:14" x14ac:dyDescent="0.35">
      <c r="A33" s="29" t="s">
        <v>658</v>
      </c>
      <c r="B33" s="29" t="s">
        <v>787</v>
      </c>
      <c r="C33" s="29" t="s">
        <v>747</v>
      </c>
      <c r="D33" s="29"/>
      <c r="E33" s="29" t="s">
        <v>751</v>
      </c>
      <c r="F33" s="29"/>
      <c r="G33" s="29" t="s">
        <v>18</v>
      </c>
      <c r="H33" s="29" t="s">
        <v>749</v>
      </c>
      <c r="K33" s="20">
        <v>7</v>
      </c>
      <c r="L33" s="20">
        <v>0</v>
      </c>
      <c r="M33" s="20">
        <v>0</v>
      </c>
      <c r="N33" s="20">
        <v>1</v>
      </c>
    </row>
    <row r="34" spans="1:14" x14ac:dyDescent="0.35">
      <c r="A34" s="29" t="s">
        <v>660</v>
      </c>
      <c r="B34" s="29" t="s">
        <v>803</v>
      </c>
      <c r="C34" s="29" t="s">
        <v>773</v>
      </c>
      <c r="D34" s="29"/>
      <c r="E34" s="29" t="s">
        <v>751</v>
      </c>
      <c r="F34" s="29"/>
      <c r="G34" s="29" t="s">
        <v>385</v>
      </c>
      <c r="H34" s="29" t="s">
        <v>29</v>
      </c>
    </row>
    <row r="35" spans="1:14" x14ac:dyDescent="0.35">
      <c r="A35" s="29" t="s">
        <v>654</v>
      </c>
      <c r="B35" s="29" t="s">
        <v>759</v>
      </c>
      <c r="C35" s="29"/>
      <c r="D35" s="29"/>
      <c r="E35" s="29" t="s">
        <v>31</v>
      </c>
      <c r="F35" s="29"/>
      <c r="G35" s="29" t="s">
        <v>18</v>
      </c>
      <c r="H35" s="29" t="s">
        <v>30</v>
      </c>
    </row>
    <row r="36" spans="1:14" x14ac:dyDescent="0.35">
      <c r="A36" s="29" t="s">
        <v>657</v>
      </c>
      <c r="B36" s="29" t="s">
        <v>788</v>
      </c>
      <c r="C36" s="29"/>
      <c r="D36" s="29" t="s">
        <v>789</v>
      </c>
      <c r="E36" s="29" t="s">
        <v>31</v>
      </c>
      <c r="F36" s="29" t="s">
        <v>21</v>
      </c>
      <c r="G36" s="29" t="s">
        <v>18</v>
      </c>
      <c r="H36" s="29" t="s">
        <v>29</v>
      </c>
    </row>
    <row r="37" spans="1:14" x14ac:dyDescent="0.35">
      <c r="A37" s="29" t="s">
        <v>659</v>
      </c>
      <c r="B37" s="29" t="s">
        <v>812</v>
      </c>
      <c r="C37" s="29" t="s">
        <v>755</v>
      </c>
      <c r="D37" s="29" t="s">
        <v>790</v>
      </c>
      <c r="E37" s="29" t="s">
        <v>751</v>
      </c>
      <c r="F37" s="29"/>
      <c r="G37" s="29"/>
      <c r="H37" s="29" t="s">
        <v>749</v>
      </c>
    </row>
    <row r="38" spans="1:14" x14ac:dyDescent="0.35">
      <c r="A38" s="29" t="s">
        <v>668</v>
      </c>
      <c r="B38" s="29" t="s">
        <v>791</v>
      </c>
      <c r="C38" s="29"/>
      <c r="D38" s="29"/>
      <c r="E38" s="29" t="s">
        <v>31</v>
      </c>
      <c r="F38" s="29"/>
      <c r="G38" s="29" t="s">
        <v>18</v>
      </c>
      <c r="H38" s="29" t="s">
        <v>792</v>
      </c>
    </row>
    <row r="39" spans="1:14" x14ac:dyDescent="0.35">
      <c r="A39" s="29" t="s">
        <v>665</v>
      </c>
      <c r="B39" s="29" t="s">
        <v>69</v>
      </c>
      <c r="C39" s="29" t="s">
        <v>747</v>
      </c>
      <c r="D39" s="29"/>
      <c r="E39" s="29" t="s">
        <v>31</v>
      </c>
      <c r="F39" s="29"/>
      <c r="G39" s="29" t="s">
        <v>18</v>
      </c>
      <c r="H39" s="29" t="s">
        <v>29</v>
      </c>
    </row>
    <row r="40" spans="1:14" x14ac:dyDescent="0.35">
      <c r="A40" s="29" t="s">
        <v>661</v>
      </c>
      <c r="B40" s="29" t="s">
        <v>762</v>
      </c>
      <c r="C40" s="29" t="s">
        <v>755</v>
      </c>
      <c r="D40" s="29"/>
      <c r="E40" s="29" t="s">
        <v>751</v>
      </c>
      <c r="F40" s="29"/>
      <c r="G40" s="29" t="s">
        <v>18</v>
      </c>
      <c r="H40" s="29" t="s">
        <v>29</v>
      </c>
    </row>
    <row r="41" spans="1:14" x14ac:dyDescent="0.35">
      <c r="A41" s="29" t="s">
        <v>664</v>
      </c>
      <c r="B41" s="29" t="s">
        <v>793</v>
      </c>
      <c r="C41" s="29"/>
      <c r="D41" s="29"/>
      <c r="E41" s="29" t="s">
        <v>31</v>
      </c>
      <c r="F41" s="29"/>
      <c r="G41" s="29" t="s">
        <v>320</v>
      </c>
      <c r="H41" s="29" t="s">
        <v>30</v>
      </c>
    </row>
    <row r="42" spans="1:14" x14ac:dyDescent="0.35">
      <c r="A42" s="29" t="s">
        <v>671</v>
      </c>
      <c r="B42" s="29" t="s">
        <v>767</v>
      </c>
      <c r="C42" s="29"/>
      <c r="D42" s="29"/>
      <c r="E42" s="29" t="s">
        <v>31</v>
      </c>
      <c r="F42" s="29" t="s">
        <v>21</v>
      </c>
      <c r="G42" s="29" t="s">
        <v>18</v>
      </c>
      <c r="H42" s="29" t="s">
        <v>30</v>
      </c>
    </row>
    <row r="43" spans="1:14" x14ac:dyDescent="0.35">
      <c r="A43" s="29" t="s">
        <v>666</v>
      </c>
      <c r="B43" s="29" t="s">
        <v>762</v>
      </c>
      <c r="C43" s="29"/>
      <c r="D43" s="29" t="s">
        <v>768</v>
      </c>
      <c r="E43" s="29" t="s">
        <v>751</v>
      </c>
      <c r="F43" s="29" t="s">
        <v>806</v>
      </c>
      <c r="G43" s="29" t="s">
        <v>22</v>
      </c>
      <c r="H43" s="29" t="s">
        <v>29</v>
      </c>
    </row>
    <row r="44" spans="1:14" x14ac:dyDescent="0.35">
      <c r="A44" s="29" t="s">
        <v>672</v>
      </c>
      <c r="B44" s="29" t="s">
        <v>762</v>
      </c>
      <c r="C44" s="29" t="s">
        <v>747</v>
      </c>
      <c r="D44" s="29"/>
      <c r="E44" s="29" t="s">
        <v>751</v>
      </c>
      <c r="F44" s="29" t="s">
        <v>21</v>
      </c>
      <c r="G44" s="29" t="s">
        <v>18</v>
      </c>
      <c r="H44" s="29" t="s">
        <v>29</v>
      </c>
    </row>
    <row r="45" spans="1:14" x14ac:dyDescent="0.35">
      <c r="A45" s="29" t="s">
        <v>662</v>
      </c>
      <c r="B45" s="29" t="s">
        <v>794</v>
      </c>
      <c r="C45" s="29" t="s">
        <v>747</v>
      </c>
      <c r="D45" s="29" t="s">
        <v>769</v>
      </c>
      <c r="E45" s="29" t="s">
        <v>751</v>
      </c>
      <c r="F45" s="29"/>
      <c r="G45" s="29" t="s">
        <v>18</v>
      </c>
      <c r="H45" s="29" t="s">
        <v>29</v>
      </c>
    </row>
    <row r="46" spans="1:14" x14ac:dyDescent="0.35">
      <c r="A46" s="29" t="s">
        <v>669</v>
      </c>
      <c r="B46" s="29" t="s">
        <v>770</v>
      </c>
      <c r="C46" s="29" t="s">
        <v>755</v>
      </c>
      <c r="D46" s="29"/>
      <c r="E46" s="29" t="s">
        <v>751</v>
      </c>
      <c r="F46" s="29" t="s">
        <v>21</v>
      </c>
      <c r="G46" s="29" t="s">
        <v>22</v>
      </c>
      <c r="H46" s="29" t="s">
        <v>29</v>
      </c>
    </row>
    <row r="47" spans="1:14" x14ac:dyDescent="0.35">
      <c r="A47" s="29" t="s">
        <v>667</v>
      </c>
      <c r="B47" s="29" t="s">
        <v>771</v>
      </c>
      <c r="C47" s="29"/>
      <c r="D47" s="29"/>
      <c r="E47" s="29" t="s">
        <v>31</v>
      </c>
      <c r="F47" s="29" t="s">
        <v>21</v>
      </c>
      <c r="G47" s="29" t="s">
        <v>18</v>
      </c>
      <c r="H47" s="29" t="s">
        <v>30</v>
      </c>
    </row>
    <row r="48" spans="1:14" x14ac:dyDescent="0.35">
      <c r="A48" s="29" t="s">
        <v>629</v>
      </c>
      <c r="B48" s="29" t="s">
        <v>795</v>
      </c>
      <c r="C48" s="29"/>
      <c r="D48" s="29"/>
      <c r="E48" s="29" t="s">
        <v>751</v>
      </c>
      <c r="F48" s="29" t="s">
        <v>758</v>
      </c>
      <c r="G48" s="29"/>
      <c r="H48" s="29" t="s">
        <v>782</v>
      </c>
    </row>
    <row r="49" spans="1:13" x14ac:dyDescent="0.35">
      <c r="A49" s="29" t="s">
        <v>670</v>
      </c>
      <c r="B49" s="29" t="s">
        <v>813</v>
      </c>
      <c r="C49" s="29" t="s">
        <v>773</v>
      </c>
      <c r="D49" s="29"/>
      <c r="E49" s="29" t="s">
        <v>751</v>
      </c>
      <c r="F49" s="29" t="s">
        <v>21</v>
      </c>
      <c r="G49" s="29" t="s">
        <v>320</v>
      </c>
      <c r="H49" s="29" t="s">
        <v>749</v>
      </c>
    </row>
    <row r="50" spans="1:13" x14ac:dyDescent="0.35">
      <c r="A50" s="29" t="s">
        <v>663</v>
      </c>
      <c r="B50" s="29" t="s">
        <v>796</v>
      </c>
      <c r="C50" s="29" t="s">
        <v>755</v>
      </c>
      <c r="D50" s="29"/>
      <c r="E50" s="29" t="s">
        <v>751</v>
      </c>
      <c r="F50" s="29" t="s">
        <v>21</v>
      </c>
      <c r="G50" s="29" t="s">
        <v>797</v>
      </c>
      <c r="H50" s="29" t="s">
        <v>29</v>
      </c>
    </row>
    <row r="51" spans="1:13" x14ac:dyDescent="0.35">
      <c r="A51" s="29" t="s">
        <v>628</v>
      </c>
      <c r="B51" s="29" t="s">
        <v>772</v>
      </c>
      <c r="C51" s="29"/>
      <c r="D51" s="29"/>
      <c r="E51" s="29" t="s">
        <v>31</v>
      </c>
      <c r="F51" s="29"/>
      <c r="G51" s="29" t="s">
        <v>22</v>
      </c>
      <c r="H51" s="29" t="s">
        <v>30</v>
      </c>
    </row>
    <row r="52" spans="1:13" x14ac:dyDescent="0.35">
      <c r="A52" s="29" t="s">
        <v>627</v>
      </c>
      <c r="B52" s="29" t="s">
        <v>798</v>
      </c>
      <c r="C52" s="29"/>
      <c r="D52" s="29"/>
      <c r="E52" s="29" t="s">
        <v>31</v>
      </c>
      <c r="F52" s="29"/>
      <c r="G52" s="29" t="s">
        <v>18</v>
      </c>
      <c r="H52" s="29" t="s">
        <v>30</v>
      </c>
    </row>
    <row r="53" spans="1:13" x14ac:dyDescent="0.35">
      <c r="A53" s="29" t="s">
        <v>530</v>
      </c>
      <c r="B53" s="29" t="s">
        <v>135</v>
      </c>
      <c r="C53" s="29" t="s">
        <v>747</v>
      </c>
      <c r="D53" s="29"/>
      <c r="E53" s="29" t="s">
        <v>31</v>
      </c>
      <c r="F53" s="29" t="s">
        <v>21</v>
      </c>
      <c r="G53" s="29" t="s">
        <v>18</v>
      </c>
      <c r="H53" s="29" t="s">
        <v>29</v>
      </c>
    </row>
    <row r="54" spans="1:13" x14ac:dyDescent="0.35">
      <c r="A54" s="29" t="s">
        <v>895</v>
      </c>
      <c r="B54" s="31" t="s">
        <v>865</v>
      </c>
      <c r="E54" s="31" t="s">
        <v>751</v>
      </c>
      <c r="F54" s="31" t="s">
        <v>21</v>
      </c>
      <c r="G54" s="31" t="s">
        <v>18</v>
      </c>
      <c r="H54" s="31" t="s">
        <v>30</v>
      </c>
      <c r="M54" t="s">
        <v>778</v>
      </c>
    </row>
    <row r="55" spans="1:13" x14ac:dyDescent="0.35">
      <c r="A55" s="29" t="s">
        <v>896</v>
      </c>
      <c r="B55" s="31" t="s">
        <v>875</v>
      </c>
      <c r="C55" t="s">
        <v>747</v>
      </c>
      <c r="E55" s="31" t="s">
        <v>31</v>
      </c>
      <c r="G55" s="31" t="s">
        <v>18</v>
      </c>
      <c r="H55" s="31" t="s">
        <v>29</v>
      </c>
    </row>
    <row r="56" spans="1:13" x14ac:dyDescent="0.35">
      <c r="A56" s="29" t="s">
        <v>897</v>
      </c>
      <c r="B56" s="31" t="s">
        <v>883</v>
      </c>
      <c r="E56" s="31" t="s">
        <v>751</v>
      </c>
      <c r="F56" t="s">
        <v>21</v>
      </c>
      <c r="G56" s="31" t="s">
        <v>18</v>
      </c>
      <c r="H56" s="31" t="s">
        <v>29</v>
      </c>
    </row>
    <row r="57" spans="1:13" x14ac:dyDescent="0.35">
      <c r="A57" s="26" t="s">
        <v>898</v>
      </c>
      <c r="B57" s="31" t="s">
        <v>905</v>
      </c>
      <c r="C57" t="s">
        <v>755</v>
      </c>
      <c r="E57" s="31" t="s">
        <v>751</v>
      </c>
      <c r="F57" t="s">
        <v>21</v>
      </c>
      <c r="G57" s="31" t="s">
        <v>18</v>
      </c>
      <c r="H57" s="31" t="s">
        <v>749</v>
      </c>
    </row>
    <row r="58" spans="1:13" x14ac:dyDescent="0.35">
      <c r="A58" s="26" t="s">
        <v>899</v>
      </c>
      <c r="B58" s="31" t="s">
        <v>911</v>
      </c>
      <c r="C58" t="s">
        <v>748</v>
      </c>
      <c r="E58" s="31" t="s">
        <v>751</v>
      </c>
      <c r="F58" t="s">
        <v>21</v>
      </c>
      <c r="G58" s="31" t="s">
        <v>18</v>
      </c>
      <c r="H58" s="31" t="s">
        <v>29</v>
      </c>
    </row>
    <row r="62" spans="1:13" x14ac:dyDescent="0.35">
      <c r="D62">
        <v>52</v>
      </c>
    </row>
    <row r="63" spans="1:13" x14ac:dyDescent="0.35">
      <c r="D63" s="21">
        <v>0.36</v>
      </c>
    </row>
  </sheetData>
  <autoFilter ref="A1:H58" xr:uid="{63C84D96-9B06-4AE9-B3C3-1CDE7E731074}">
    <sortState xmlns:xlrd2="http://schemas.microsoft.com/office/spreadsheetml/2017/richdata2" ref="A2:H58">
      <sortCondition ref="A1:A53"/>
    </sortState>
  </autoFilter>
  <mergeCells count="3">
    <mergeCell ref="K17:N17"/>
    <mergeCell ref="K23:P23"/>
    <mergeCell ref="K29:N29"/>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1B18-2632-4502-B01C-1D6EC47092A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44D50C-9009-409B-A61B-7D8B4DD45B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Extractions</vt:lpstr>
      <vt:lpstr>QA Score</vt:lpstr>
      <vt:lpstr>Database</vt:lpstr>
      <vt:lpstr>Institution Collaboration</vt:lpstr>
      <vt:lpstr>Contries</vt:lpstr>
      <vt:lpstr>Publishers</vt:lpstr>
      <vt:lpstr>Publication Venues</vt:lpstr>
      <vt:lpstr>Year</vt:lpstr>
      <vt:lpstr>Contributions</vt:lpstr>
      <vt:lpstr>Technologies</vt:lpstr>
      <vt:lpstr>Applications</vt:lpstr>
      <vt:lpstr>UX Evaluation Methods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Abdulhamid Al-Amin</dc:creator>
  <cp:lastModifiedBy>Abdulhamid Al-Amin</cp:lastModifiedBy>
  <cp:lastPrinted>2026-03-11T16:01:31Z</cp:lastPrinted>
  <dcterms:created xsi:type="dcterms:W3CDTF">2025-10-23T06:38:09Z</dcterms:created>
  <dcterms:modified xsi:type="dcterms:W3CDTF">2026-06-17T17:14:31Z</dcterms:modified>
</cp:coreProperties>
</file>